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RCHIVOS\ESCUELA 2026\FISI\ACADEMICO\HORARIOS\2026-1\"/>
    </mc:Choice>
  </mc:AlternateContent>
  <bookViews>
    <workbookView xWindow="0" yWindow="0" windowWidth="29010" windowHeight="12300"/>
  </bookViews>
  <sheets>
    <sheet name="Profesores" sheetId="1" r:id="rId1"/>
    <sheet name="Por Semana OK" sheetId="2" r:id="rId2"/>
  </sheets>
  <definedNames>
    <definedName name="_xlnm.Print_Area" localSheetId="0">Profesores!$A$1:$J$613</definedName>
  </definedNames>
  <calcPr calcId="162913"/>
  <extLst>
    <ext uri="GoogleSheetsCustomDataVersion2">
      <go:sheetsCustomData xmlns:go="http://customooxmlschemas.google.com/" r:id="rId6" roundtripDataChecksum="KWecrmgv3HO1bSSZowe5ZNOG3SBGDyuWP+aqzySHSJk="/>
    </ext>
  </extLst>
</workbook>
</file>

<file path=xl/calcChain.xml><?xml version="1.0" encoding="utf-8"?>
<calcChain xmlns="http://schemas.openxmlformats.org/spreadsheetml/2006/main">
  <c r="K340" i="1" l="1"/>
  <c r="K331" i="1"/>
  <c r="J426" i="1"/>
  <c r="J613" i="1" l="1"/>
  <c r="K301" i="1" l="1"/>
  <c r="J184" i="1" l="1"/>
  <c r="J611" i="1"/>
  <c r="J605" i="1"/>
  <c r="J599" i="1"/>
  <c r="J597" i="1"/>
  <c r="J591" i="1"/>
  <c r="J581" i="1"/>
  <c r="J579" i="1"/>
  <c r="J573" i="1"/>
  <c r="J541" i="1"/>
  <c r="J539" i="1"/>
  <c r="J537" i="1"/>
  <c r="J531" i="1"/>
  <c r="J529" i="1"/>
  <c r="J523" i="1"/>
  <c r="J521" i="1"/>
  <c r="J515" i="1"/>
  <c r="J513" i="1"/>
  <c r="J511" i="1"/>
  <c r="J485" i="1"/>
  <c r="J479" i="1"/>
  <c r="J473" i="1"/>
  <c r="J445" i="1"/>
  <c r="J439" i="1"/>
  <c r="J420" i="1"/>
  <c r="J418" i="1"/>
  <c r="J411" i="1"/>
  <c r="J409" i="1"/>
  <c r="J407" i="1"/>
  <c r="J401" i="1"/>
  <c r="J399" i="1"/>
  <c r="J397" i="1"/>
  <c r="J390" i="1"/>
  <c r="J388" i="1"/>
  <c r="J386" i="1"/>
  <c r="J379" i="1"/>
  <c r="J377" i="1"/>
  <c r="J370" i="1"/>
  <c r="J368" i="1"/>
  <c r="J366" i="1"/>
  <c r="J359" i="1"/>
  <c r="J357" i="1"/>
  <c r="J355" i="1"/>
  <c r="K346" i="1"/>
  <c r="K338" i="1"/>
  <c r="K329" i="1"/>
  <c r="K322" i="1"/>
  <c r="K315" i="1"/>
  <c r="K308" i="1"/>
  <c r="K299" i="1"/>
  <c r="J291" i="1"/>
  <c r="J289" i="1"/>
  <c r="J283" i="1"/>
  <c r="J281" i="1"/>
  <c r="J275" i="1"/>
  <c r="J273" i="1"/>
  <c r="J267" i="1"/>
  <c r="J265" i="1"/>
  <c r="J263" i="1"/>
  <c r="J254" i="1"/>
  <c r="J252" i="1"/>
  <c r="J250" i="1"/>
  <c r="J244" i="1"/>
  <c r="J242" i="1"/>
  <c r="J235" i="1"/>
  <c r="J233" i="1"/>
  <c r="J231" i="1"/>
  <c r="J225" i="1"/>
  <c r="J223" i="1"/>
  <c r="J221" i="1"/>
  <c r="J212" i="1"/>
  <c r="J207" i="1"/>
  <c r="J198" i="1"/>
  <c r="J191" i="1"/>
  <c r="J182" i="1"/>
  <c r="J175" i="1"/>
  <c r="J168" i="1"/>
  <c r="J160" i="1"/>
  <c r="J162" i="1" s="1"/>
  <c r="J153" i="1"/>
  <c r="J151" i="1"/>
  <c r="J144" i="1"/>
  <c r="J142" i="1"/>
  <c r="J135" i="1"/>
  <c r="J133" i="1"/>
  <c r="J126" i="1"/>
  <c r="J124" i="1"/>
  <c r="J117" i="1"/>
  <c r="J115" i="1"/>
  <c r="J113" i="1"/>
  <c r="J105" i="1"/>
  <c r="J91" i="1"/>
  <c r="J89" i="1"/>
  <c r="J87" i="1"/>
  <c r="J81" i="1"/>
  <c r="J79" i="1"/>
  <c r="J77" i="1"/>
  <c r="J71" i="1"/>
  <c r="J69" i="1"/>
  <c r="J67" i="1"/>
  <c r="J61" i="1"/>
  <c r="J59" i="1"/>
  <c r="J57" i="1"/>
  <c r="J51" i="1"/>
  <c r="J49" i="1"/>
  <c r="J47" i="1"/>
  <c r="J25" i="1"/>
  <c r="J23" i="1"/>
  <c r="J21" i="1"/>
  <c r="J11" i="1"/>
</calcChain>
</file>

<file path=xl/sharedStrings.xml><?xml version="1.0" encoding="utf-8"?>
<sst xmlns="http://schemas.openxmlformats.org/spreadsheetml/2006/main" count="2725" uniqueCount="433">
  <si>
    <t>F</t>
  </si>
  <si>
    <t>ESCUELA PROFESIONAL DE INGENIERÍA DE SOFTWARE</t>
  </si>
  <si>
    <t>HORARIO DE ESTUDIOS SEMESTRE ACADEMICO 2026-1</t>
  </si>
  <si>
    <t>MODALIDAD: PRESENCIAL</t>
  </si>
  <si>
    <t>CICLO:</t>
  </si>
  <si>
    <t>I</t>
  </si>
  <si>
    <t>PLAN:</t>
  </si>
  <si>
    <t>CÓDIGO:</t>
  </si>
  <si>
    <t>INO104</t>
  </si>
  <si>
    <t>CURSO:</t>
  </si>
  <si>
    <t>CÁLCULO I</t>
  </si>
  <si>
    <t>CRÉDITOS:</t>
  </si>
  <si>
    <t>COD PREREQ:</t>
  </si>
  <si>
    <t>-</t>
  </si>
  <si>
    <t>Nº AULA</t>
  </si>
  <si>
    <t>202SW0104</t>
  </si>
  <si>
    <t>GRUPO</t>
  </si>
  <si>
    <t>T</t>
  </si>
  <si>
    <t>DIA</t>
  </si>
  <si>
    <t>HORARIO</t>
  </si>
  <si>
    <t>DOCENTE</t>
  </si>
  <si>
    <t>PLAN 2018</t>
  </si>
  <si>
    <t>PLAN 2023</t>
  </si>
  <si>
    <t>TOTAL</t>
  </si>
  <si>
    <t>G-1</t>
  </si>
  <si>
    <t>MARTES</t>
  </si>
  <si>
    <t>P</t>
  </si>
  <si>
    <t>G-2</t>
  </si>
  <si>
    <t>G-3</t>
  </si>
  <si>
    <t>INO106</t>
  </si>
  <si>
    <t>ALGEBRA Y GEOMETRÍA ANALÍTICA I</t>
  </si>
  <si>
    <t>202SW0106</t>
  </si>
  <si>
    <t>LUNES</t>
  </si>
  <si>
    <t>INE002</t>
  </si>
  <si>
    <t>PROGRAMACIÓN Y COMPUTACIÓN</t>
  </si>
  <si>
    <t>202SW0E01</t>
  </si>
  <si>
    <t>MIERCOLES</t>
  </si>
  <si>
    <t>L</t>
  </si>
  <si>
    <t>G-4</t>
  </si>
  <si>
    <t>G-5</t>
  </si>
  <si>
    <t>G-6</t>
  </si>
  <si>
    <t>INO101</t>
  </si>
  <si>
    <t>REDACCIÓN Y TÉCNICAS DE COMUNICACIÓN</t>
  </si>
  <si>
    <t>2025W0101</t>
  </si>
  <si>
    <t>VIERNES</t>
  </si>
  <si>
    <t>INO102</t>
  </si>
  <si>
    <t>MÉTODOS DE ESTUDIOS UNIVERSITARIOS</t>
  </si>
  <si>
    <t>2025W0102</t>
  </si>
  <si>
    <t>JUEVES</t>
  </si>
  <si>
    <t>INO103</t>
  </si>
  <si>
    <t>DESARROLLO PERSONAL Y LIDERAZGO</t>
  </si>
  <si>
    <t>2025WO103</t>
  </si>
  <si>
    <t>INO105</t>
  </si>
  <si>
    <t>BIOLOGÍA PARA CIENCIAS E INGENIERÍA</t>
  </si>
  <si>
    <t>2025W0105</t>
  </si>
  <si>
    <t>INO107</t>
  </si>
  <si>
    <t>MEDIO AMBIENTE Y DESARROLLO SOCIAL</t>
  </si>
  <si>
    <t>2025W0107</t>
  </si>
  <si>
    <t>II</t>
  </si>
  <si>
    <t>INO204</t>
  </si>
  <si>
    <t>CÁLCULO II</t>
  </si>
  <si>
    <t>20SW0204</t>
  </si>
  <si>
    <t>INO205</t>
  </si>
  <si>
    <t>FISICA I</t>
  </si>
  <si>
    <t>202SW0205</t>
  </si>
  <si>
    <t>III</t>
  </si>
  <si>
    <t>202W0301</t>
  </si>
  <si>
    <t>ALGORÍTMICA I</t>
  </si>
  <si>
    <t>202SW0301</t>
  </si>
  <si>
    <t>ARREDONDO CASTILLO, GUSTAVO</t>
  </si>
  <si>
    <t>TAPIA CARBAJAL, JUAN RICARDO</t>
  </si>
  <si>
    <t>202W0302</t>
  </si>
  <si>
    <t>ESTADISTICA</t>
  </si>
  <si>
    <t>202SW0302</t>
  </si>
  <si>
    <t>ESTADÍSTICA Y PROBABILIDADES</t>
  </si>
  <si>
    <t>SE ENVIO OFICIO 14/01/26</t>
  </si>
  <si>
    <t>202W0303</t>
  </si>
  <si>
    <t>FÍSICA ELECTRÓNICA</t>
  </si>
  <si>
    <t>202SW0303</t>
  </si>
  <si>
    <t>202W0304</t>
  </si>
  <si>
    <t>INGENIERÍA ECONÓMICA</t>
  </si>
  <si>
    <t>202SW0304</t>
  </si>
  <si>
    <t xml:space="preserve">VIERNES </t>
  </si>
  <si>
    <t>202W0305</t>
  </si>
  <si>
    <t>INTRODUCCIÓN AL DESARROLLO DE SOFTWARE</t>
  </si>
  <si>
    <t>202SW0305</t>
  </si>
  <si>
    <t>MELGAREJO SOLIS, RONALD ALFONSO</t>
  </si>
  <si>
    <t>SABADO</t>
  </si>
  <si>
    <t>CANCHO RODRIGUEZ ERNESTO DAVID</t>
  </si>
  <si>
    <t>202W0306</t>
  </si>
  <si>
    <t>MATEMÁTICA BÁSICA</t>
  </si>
  <si>
    <t>202SW0306</t>
  </si>
  <si>
    <t>MIÉRCOLES</t>
  </si>
  <si>
    <t>IV</t>
  </si>
  <si>
    <t xml:space="preserve">PLAN: </t>
  </si>
  <si>
    <t>CÓDIGO</t>
  </si>
  <si>
    <t>202W0401</t>
  </si>
  <si>
    <t>ALGORÍTMICA II</t>
  </si>
  <si>
    <t>CREDITOS:</t>
  </si>
  <si>
    <t>202SW0401</t>
  </si>
  <si>
    <t xml:space="preserve"> </t>
  </si>
  <si>
    <t>202W0402</t>
  </si>
  <si>
    <t>CONTABILIDAD PARA LA GESTIÓN</t>
  </si>
  <si>
    <t>202W0307</t>
  </si>
  <si>
    <t>202SW0402</t>
  </si>
  <si>
    <t>ORGANIZACIÓN Y ADMINISTRACIÓN</t>
  </si>
  <si>
    <t>202SW0403</t>
  </si>
  <si>
    <t>CHÁVEZ HERRERA, CARLOS ERNESTO</t>
  </si>
  <si>
    <t>202W0404</t>
  </si>
  <si>
    <t>MATEMÁTICA DISCRETA</t>
  </si>
  <si>
    <t>202SW0404</t>
  </si>
  <si>
    <t>RODRIGUEZ RODRIGUEZ CIRO</t>
  </si>
  <si>
    <t>202W0405</t>
  </si>
  <si>
    <t>ESTRUCTURA DE DATOS</t>
  </si>
  <si>
    <t>202SW0405</t>
  </si>
  <si>
    <t>202W0406</t>
  </si>
  <si>
    <t>PROCESOS DE SOFTWARE</t>
  </si>
  <si>
    <t>202SW0406</t>
  </si>
  <si>
    <t>BAYONA ORÉ, LUZ  SUSSY</t>
  </si>
  <si>
    <t>202W0407</t>
  </si>
  <si>
    <t>SISTEMAS DIGITALES</t>
  </si>
  <si>
    <t>202SW0407</t>
  </si>
  <si>
    <t>SÁBADO</t>
  </si>
  <si>
    <t>PRUDENCIO VIDAL JAVIER ANTONIO</t>
  </si>
  <si>
    <t>V</t>
  </si>
  <si>
    <t>202W0501</t>
  </si>
  <si>
    <t>ANÁLISIS Y DISEÑO DE ALGORITMOS</t>
  </si>
  <si>
    <t>20W0401 /20W0405</t>
  </si>
  <si>
    <t>202SW0501</t>
  </si>
  <si>
    <t>CANCHO RODRIGUEZ, ERNESTO DAVID</t>
  </si>
  <si>
    <t>202SW0502</t>
  </si>
  <si>
    <t>ARQUITECTURA DE COMPUTADORAS</t>
  </si>
  <si>
    <t>AGUILAR ALONSO, IGOR JOVINO</t>
  </si>
  <si>
    <t>CALIDAD DE SOFTWARE</t>
  </si>
  <si>
    <t>BARTRA MORE, ARTURO ALEJANDRO</t>
  </si>
  <si>
    <t>202SW0503</t>
  </si>
  <si>
    <t>BASE DE DATOS I</t>
  </si>
  <si>
    <t>202SW405</t>
  </si>
  <si>
    <t>G1</t>
  </si>
  <si>
    <t>G2</t>
  </si>
  <si>
    <t>MURAKAMI DE LA CRUZ SUMIKO ELIZABETH</t>
  </si>
  <si>
    <t>G3</t>
  </si>
  <si>
    <t>202W0504</t>
  </si>
  <si>
    <t>COMPUTACIÓN VISUAL</t>
  </si>
  <si>
    <t>202SW0504</t>
  </si>
  <si>
    <t>202SW0505</t>
  </si>
  <si>
    <t>ECONOMIA PARA LA GESTIÓN</t>
  </si>
  <si>
    <t>PROF. PINGLO SE ENVIO OFICIO 14/01/26</t>
  </si>
  <si>
    <t>202SW0506</t>
  </si>
  <si>
    <t>INGENIERÍA DE REQUISITOS</t>
  </si>
  <si>
    <t>202SW0507</t>
  </si>
  <si>
    <t>LENGUAJES Y COMPILADORES</t>
  </si>
  <si>
    <t>PRUDENCIO VIDAL, JAVIER ANTONIO</t>
  </si>
  <si>
    <t>CICLO: VI</t>
  </si>
  <si>
    <t>202W0601</t>
  </si>
  <si>
    <t>ASEGURAMIENTO DE LA CALIDAD DEL SOFTWARE</t>
  </si>
  <si>
    <t>202W0503</t>
  </si>
  <si>
    <t>CODIGO</t>
  </si>
  <si>
    <t>PLAN 2015</t>
  </si>
  <si>
    <t>HUAPAYA CHUMPITAZ, MARIO AGUSTIN</t>
  </si>
  <si>
    <t>202W0607</t>
  </si>
  <si>
    <t>SISTEMAS OPERATIVOS</t>
  </si>
  <si>
    <t>202W0502</t>
  </si>
  <si>
    <t>202SW0607</t>
  </si>
  <si>
    <t>202W0702</t>
  </si>
  <si>
    <t>202W0602</t>
  </si>
  <si>
    <t>202SW0601</t>
  </si>
  <si>
    <t>202W0603</t>
  </si>
  <si>
    <t>DISEÑO DE SOFTWARE</t>
  </si>
  <si>
    <t>202W0505</t>
  </si>
  <si>
    <t>/202W0507</t>
  </si>
  <si>
    <t>202SW0603</t>
  </si>
  <si>
    <t>202SW0506/202SW0503</t>
  </si>
  <si>
    <t xml:space="preserve">                                                                               </t>
  </si>
  <si>
    <t>202W0604</t>
  </si>
  <si>
    <t>FORMACIÓN DE EMPRESAS DE SOFTWARE</t>
  </si>
  <si>
    <t>202W0403/202W0506</t>
  </si>
  <si>
    <t>202SW0704</t>
  </si>
  <si>
    <t>202SW0605</t>
  </si>
  <si>
    <t>202SW0703</t>
  </si>
  <si>
    <t>GESTIÓN DE CONFIGURACIÓN DEL SOFTWARE</t>
  </si>
  <si>
    <t>202SW0602/202SW0603</t>
  </si>
  <si>
    <t>WONG PORTILLO LENIS ROSSI</t>
  </si>
  <si>
    <t>202SW0606</t>
  </si>
  <si>
    <t>INTERACCIÓN HOMBRE COMPUTADOR</t>
  </si>
  <si>
    <t>PETRLIK AZABACHE, IVAN CARLO</t>
  </si>
  <si>
    <t>VII</t>
  </si>
  <si>
    <t>202W0701</t>
  </si>
  <si>
    <t>ARQUITECTURA DE SOFTWARE</t>
  </si>
  <si>
    <t>202W0602 / 202W0603 / 202W0601</t>
  </si>
  <si>
    <t>202SW0701</t>
  </si>
  <si>
    <t>BASE DE DATOS II</t>
  </si>
  <si>
    <t>202W0703</t>
  </si>
  <si>
    <t>EXPERIENCIA DE USUARIO Y USABILIDAD</t>
  </si>
  <si>
    <t>202W0603 / 20W0606</t>
  </si>
  <si>
    <t>202SW0702</t>
  </si>
  <si>
    <t>GESTIÓN DE PROYECTOS DE SOFTWARE</t>
  </si>
  <si>
    <t>MACHADO VICENTE, JOEL FERNANDO</t>
  </si>
  <si>
    <t>202W0705</t>
  </si>
  <si>
    <t>INTELIGENCIA ARTIFICIAL</t>
  </si>
  <si>
    <t xml:space="preserve">202W0606 </t>
  </si>
  <si>
    <t>202SW0705</t>
  </si>
  <si>
    <t>SOBREVILLA CABEZUDO, MARCO ANTONIO</t>
  </si>
  <si>
    <t>GAMARRA MORENO, JUAN</t>
  </si>
  <si>
    <t>202W0706</t>
  </si>
  <si>
    <t>MÉTODOS FORMALES PARA PRUEBAS</t>
  </si>
  <si>
    <t>202W0503 / 202W0605</t>
  </si>
  <si>
    <t>DEL MAR ARZOLA, JORGE LUIS</t>
  </si>
  <si>
    <t>REDES Y TRANSMISIÓN DE DATOS</t>
  </si>
  <si>
    <t>UGAZ CACHAY WINSTON IGNACIO</t>
  </si>
  <si>
    <t>VIII</t>
  </si>
  <si>
    <t>202W0801</t>
  </si>
  <si>
    <t>AUTOMATIZACIÓN Y CONTROL DE SOFTWARE</t>
  </si>
  <si>
    <t>202W0707</t>
  </si>
  <si>
    <t>Jorge Luis Del Mar Arzola</t>
  </si>
  <si>
    <t>VIENE DE SISTEMAS , LUNES 6-10</t>
  </si>
  <si>
    <t>202W0802</t>
  </si>
  <si>
    <t>INTELIGENCIA DE NEGOCIOS</t>
  </si>
  <si>
    <t>202W0501 / 202W0702</t>
  </si>
  <si>
    <t>202W0803</t>
  </si>
  <si>
    <t>METODOLOGIA DE LA INVESTIGACIÓN</t>
  </si>
  <si>
    <t>202W0701 / 202W0705</t>
  </si>
  <si>
    <t>INGRESAR EL NOMBRE DEL DOCENTE AL SUM</t>
  </si>
  <si>
    <t>BAYONA ORÉ, LUZ SUSSY</t>
  </si>
  <si>
    <t>PAUCAR CURASMA, HERMINIO</t>
  </si>
  <si>
    <t>202W0804</t>
  </si>
  <si>
    <t>MINERIA DE DATOS</t>
  </si>
  <si>
    <t>CALDERON VILCA, HUGO DAVID</t>
  </si>
  <si>
    <t>202W0805</t>
  </si>
  <si>
    <t>PROGRAMACIÓN CONCURRENTE Y PARALELA</t>
  </si>
  <si>
    <t>202W0806</t>
  </si>
  <si>
    <t>SEGURIDAD DE SOFTWARE</t>
  </si>
  <si>
    <t>202W00601 / 202W0707</t>
  </si>
  <si>
    <t>202W0901</t>
  </si>
  <si>
    <t>TALLER DE CONSTRUCCIÓN DE SOFTWARE WEB</t>
  </si>
  <si>
    <t>CORDERO SÁNCHEZ, HUGO RAFAEL</t>
  </si>
  <si>
    <t>202W0808</t>
  </si>
  <si>
    <t>VERIFICACIÓN Y VALIDACIÓN DE SOFTWARE</t>
  </si>
  <si>
    <t>IX</t>
  </si>
  <si>
    <t>DESARROLLO DE TESIS I</t>
  </si>
  <si>
    <t>G-7</t>
  </si>
  <si>
    <t>202W0902</t>
  </si>
  <si>
    <t>GARANTÍA DE SOFTWARE</t>
  </si>
  <si>
    <t>202W0903</t>
  </si>
  <si>
    <t>GERENCIA DE TECNOLOGÍA DE LA INFORMACIÓN</t>
  </si>
  <si>
    <t>202W0704</t>
  </si>
  <si>
    <t>202W0904</t>
  </si>
  <si>
    <t>GESTIÓN DE MANTENIMIENTO DEL SOFTWARE</t>
  </si>
  <si>
    <t>202W0807</t>
  </si>
  <si>
    <t>202W0905</t>
  </si>
  <si>
    <t>GESTIÓN DE RIESGO DEL SOFTWARE</t>
  </si>
  <si>
    <t>202W0906</t>
  </si>
  <si>
    <t>INTERNET DE LAS COSAS</t>
  </si>
  <si>
    <t>202W0907</t>
  </si>
  <si>
    <t>TALLER DE CONSTRUCCIÓN DE SOFTWARE MOVIL</t>
  </si>
  <si>
    <t>20W0807 / 20W0808</t>
  </si>
  <si>
    <t>202W0908</t>
  </si>
  <si>
    <t>SOFTWARE INTELIGENTE</t>
  </si>
  <si>
    <t>X</t>
  </si>
  <si>
    <t>202W1001</t>
  </si>
  <si>
    <t>ANALÍTICA DE DATOS</t>
  </si>
  <si>
    <t>20W0802 / 20W0908</t>
  </si>
  <si>
    <t>202W1002</t>
  </si>
  <si>
    <t>DESARROLLO DE TESIS II</t>
  </si>
  <si>
    <t>202W00901</t>
  </si>
  <si>
    <t>202W1003</t>
  </si>
  <si>
    <t>PRACTICA PRE PROFESIONAL</t>
  </si>
  <si>
    <t>202W1004</t>
  </si>
  <si>
    <t>TALLER DE APLICACIONES SOCIALES</t>
  </si>
  <si>
    <t>202W1005</t>
  </si>
  <si>
    <t>TENDENCIAS DE ARQUITECTURA DE SOFTWARE</t>
  </si>
  <si>
    <t>202W1006</t>
  </si>
  <si>
    <t>TENDENCIAS EN INGENIERÍA DE SOFTWARE Y GESTIÓN</t>
  </si>
  <si>
    <t>202W00903</t>
  </si>
  <si>
    <t>Decia</t>
  </si>
  <si>
    <t>PRIMER CICLO</t>
  </si>
  <si>
    <t>08:00 - 09:00</t>
  </si>
  <si>
    <t>METODOS DE ESTUDIOS UNIVERSITARIOS</t>
  </si>
  <si>
    <t>09:00 - 10:00</t>
  </si>
  <si>
    <t>10:00 - 11:00</t>
  </si>
  <si>
    <t>11:00 - 12:00</t>
  </si>
  <si>
    <t>12:00 - 13:00</t>
  </si>
  <si>
    <t>FISI-EPISW</t>
  </si>
  <si>
    <t>MEDIO AMBIENTE Y DESARROLLO SOSTENIBLE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</si>
  <si>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</si>
  <si>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</si>
  <si>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</si>
  <si>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</si>
  <si>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</si>
  <si>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</si>
  <si>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</si>
  <si>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</si>
  <si>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</si>
  <si>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SSEGUNDO CICLO</t>
  </si>
  <si>
    <t>TERCER CICLO</t>
  </si>
  <si>
    <r>
      <rPr>
        <b/>
        <sz val="10"/>
        <color rgb="FF000000"/>
        <rFont val="Calibri"/>
        <family val="2"/>
      </rPr>
      <t xml:space="preserve">FÍSICA ELECTRÓNICA
</t>
    </r>
    <r>
      <rPr>
        <b/>
        <sz val="10"/>
        <color rgb="FFFF0000"/>
        <rFont val="Calibri"/>
        <family val="2"/>
      </rPr>
      <t>G1</t>
    </r>
  </si>
  <si>
    <r>
      <rPr>
        <b/>
        <sz val="10"/>
        <color rgb="FF000000"/>
        <rFont val="Calibri"/>
        <family val="2"/>
      </rPr>
      <t xml:space="preserve">MATEMÁTICA BÁSICA
</t>
    </r>
    <r>
      <rPr>
        <b/>
        <sz val="10"/>
        <color rgb="FFFF0000"/>
        <rFont val="Calibri"/>
        <family val="2"/>
      </rPr>
      <t>G1</t>
    </r>
  </si>
  <si>
    <r>
      <rPr>
        <b/>
        <sz val="10"/>
        <color rgb="FF000000"/>
        <rFont val="Calibri"/>
        <family val="2"/>
      </rPr>
      <t xml:space="preserve">ESTADÍSTICA / ESTADÍSTICA Y PROBABILIDADES
</t>
    </r>
    <r>
      <rPr>
        <b/>
        <sz val="10"/>
        <color rgb="FFFF0000"/>
        <rFont val="Calibri"/>
        <family val="2"/>
      </rPr>
      <t>G1</t>
    </r>
  </si>
  <si>
    <r>
      <rPr>
        <b/>
        <sz val="10"/>
        <color rgb="FF000000"/>
        <rFont val="Calibri"/>
        <family val="2"/>
      </rPr>
      <t xml:space="preserve">INGENIERÍA ECONÓMICA
</t>
    </r>
    <r>
      <rPr>
        <b/>
        <sz val="10"/>
        <color rgb="FFFF0000"/>
        <rFont val="Calibri"/>
        <family val="2"/>
      </rPr>
      <t>G1</t>
    </r>
  </si>
  <si>
    <r>
      <rPr>
        <b/>
        <sz val="10"/>
        <color rgb="FF000000"/>
        <rFont val="Calibri"/>
        <family val="2"/>
      </rPr>
      <t xml:space="preserve">INTRODUCCIÓN AL DESARROLLO DE SOFTWARE
</t>
    </r>
    <r>
      <rPr>
        <b/>
        <sz val="10"/>
        <color rgb="FFFF0000"/>
        <rFont val="Calibri"/>
        <family val="2"/>
      </rPr>
      <t xml:space="preserve">G1 </t>
    </r>
  </si>
  <si>
    <r>
      <rPr>
        <b/>
        <sz val="10"/>
        <color rgb="FF1F1F1F"/>
        <rFont val="Calibri"/>
        <family val="2"/>
      </rPr>
      <t xml:space="preserve">ALGORITMICA I
</t>
    </r>
    <r>
      <rPr>
        <b/>
        <sz val="10"/>
        <color rgb="FFFF0000"/>
        <rFont val="Calibri"/>
        <family val="2"/>
      </rPr>
      <t>G1</t>
    </r>
  </si>
  <si>
    <r>
      <rPr>
        <b/>
        <sz val="10"/>
        <color theme="1"/>
        <rFont val="Calibri"/>
        <family val="2"/>
      </rPr>
      <t xml:space="preserve">ORGANIZACIÓN Y ADMINISTRACIÓN 
PLSN 2018
</t>
    </r>
    <r>
      <rPr>
        <b/>
        <sz val="10"/>
        <color rgb="FFFF0000"/>
        <rFont val="Calibri"/>
        <family val="2"/>
      </rPr>
      <t>G1</t>
    </r>
  </si>
  <si>
    <t>CUARTO CICLO</t>
  </si>
  <si>
    <r>
      <rPr>
        <b/>
        <sz val="10"/>
        <color rgb="FF000000"/>
        <rFont val="Calibri"/>
        <family val="2"/>
      </rPr>
      <t xml:space="preserve">PROCESOS DE SOFTWARE
</t>
    </r>
    <r>
      <rPr>
        <b/>
        <sz val="10"/>
        <color rgb="FFFF0000"/>
        <rFont val="Calibri"/>
        <family val="2"/>
      </rPr>
      <t>G1
G2</t>
    </r>
  </si>
  <si>
    <r>
      <rPr>
        <b/>
        <sz val="10"/>
        <color theme="1"/>
        <rFont val="Calibri"/>
        <family val="2"/>
      </rPr>
      <t xml:space="preserve">ESTRUCTURA DE DATOS
PLAN 2023
</t>
    </r>
    <r>
      <rPr>
        <b/>
        <sz val="10"/>
        <color rgb="FFFF0000"/>
        <rFont val="Calibri"/>
        <family val="2"/>
      </rPr>
      <t>G1
G2</t>
    </r>
  </si>
  <si>
    <r>
      <rPr>
        <b/>
        <sz val="10"/>
        <color theme="1"/>
        <rFont val="Calibri"/>
        <family val="2"/>
      </rPr>
      <t xml:space="preserve">INNOVACIÓN, TECNOLOGÍA Y EMPRENDIMIENTO
PLAN 2018
</t>
    </r>
    <r>
      <rPr>
        <b/>
        <sz val="10"/>
        <color rgb="FFFF0000"/>
        <rFont val="Calibri"/>
        <family val="2"/>
      </rPr>
      <t>G1</t>
    </r>
  </si>
  <si>
    <r>
      <rPr>
        <b/>
        <sz val="10"/>
        <color theme="1"/>
        <rFont val="Calibri"/>
        <family val="2"/>
      </rPr>
      <t xml:space="preserve">ALGORITMICA II
</t>
    </r>
    <r>
      <rPr>
        <b/>
        <sz val="10"/>
        <color rgb="FFFF0000"/>
        <rFont val="Calibri"/>
        <family val="2"/>
      </rPr>
      <t>G1
G2</t>
    </r>
  </si>
  <si>
    <r>
      <rPr>
        <b/>
        <sz val="10"/>
        <color theme="1"/>
        <rFont val="Calibri"/>
        <family val="2"/>
      </rPr>
      <t xml:space="preserve">CONTABILIDAD PARA LA GESTIÓN
</t>
    </r>
    <r>
      <rPr>
        <b/>
        <sz val="10"/>
        <color rgb="FFFF0000"/>
        <rFont val="Calibri"/>
        <family val="2"/>
      </rPr>
      <t>G1
G2</t>
    </r>
  </si>
  <si>
    <r>
      <rPr>
        <b/>
        <sz val="10"/>
        <color theme="1"/>
        <rFont val="Calibri"/>
        <family val="2"/>
      </rPr>
      <t xml:space="preserve">SISTEMAS DIGITALES
</t>
    </r>
    <r>
      <rPr>
        <b/>
        <sz val="10"/>
        <color rgb="FFFF0000"/>
        <rFont val="Calibri"/>
        <family val="2"/>
      </rPr>
      <t>G1
G2</t>
    </r>
  </si>
  <si>
    <r>
      <rPr>
        <b/>
        <sz val="10"/>
        <color theme="1"/>
        <rFont val="Calibri"/>
        <family val="2"/>
      </rPr>
      <t xml:space="preserve">ORGANIZACIÓN Y ADMINISTRACIÓN 
PLAN 2023
</t>
    </r>
    <r>
      <rPr>
        <b/>
        <sz val="10"/>
        <color rgb="FFFF0000"/>
        <rFont val="Calibri"/>
        <family val="2"/>
      </rPr>
      <t>G1
G2</t>
    </r>
  </si>
  <si>
    <r>
      <rPr>
        <b/>
        <sz val="10"/>
        <color theme="1"/>
        <rFont val="Calibri"/>
        <family val="2"/>
      </rPr>
      <t xml:space="preserve">MATEMÁTICAS DISCRETAS
</t>
    </r>
    <r>
      <rPr>
        <b/>
        <sz val="10"/>
        <color rgb="FFFF0000"/>
        <rFont val="Calibri"/>
        <family val="2"/>
      </rPr>
      <t>G1
G2</t>
    </r>
  </si>
  <si>
    <t>QUINTO CICLO</t>
  </si>
  <si>
    <r>
      <rPr>
        <sz val="10"/>
        <color theme="1"/>
        <rFont val="Calibri"/>
        <family val="2"/>
      </rPr>
      <t xml:space="preserve">CALIDAD DE SOFTWARE 
</t>
    </r>
    <r>
      <rPr>
        <sz val="10"/>
        <color rgb="FFFF0000"/>
        <rFont val="Calibri"/>
        <family val="2"/>
      </rPr>
      <t>2018 
G3</t>
    </r>
  </si>
  <si>
    <r>
      <rPr>
        <b/>
        <sz val="10"/>
        <color theme="1"/>
        <rFont val="Calibri"/>
        <family val="2"/>
      </rPr>
      <t xml:space="preserve">ESTRUCTURA DE DATOS
PLAN 2018
</t>
    </r>
    <r>
      <rPr>
        <b/>
        <sz val="10"/>
        <color rgb="FFFF0000"/>
        <rFont val="Calibri"/>
        <family val="2"/>
      </rPr>
      <t>G1</t>
    </r>
  </si>
  <si>
    <r>
      <rPr>
        <b/>
        <sz val="10"/>
        <color theme="1"/>
        <rFont val="Calibri"/>
        <family val="2"/>
      </rPr>
      <t>COMPUTACIÓN VISUAL</t>
    </r>
    <r>
      <rPr>
        <sz val="10"/>
        <color theme="1"/>
        <rFont val="Calibri"/>
        <family val="2"/>
      </rPr>
      <t xml:space="preserve">
</t>
    </r>
    <r>
      <rPr>
        <sz val="10"/>
        <color rgb="FFFF0000"/>
        <rFont val="Calibri"/>
        <family val="2"/>
      </rPr>
      <t>G1</t>
    </r>
  </si>
  <si>
    <r>
      <rPr>
        <b/>
        <sz val="10"/>
        <color theme="1"/>
        <rFont val="Calibri"/>
        <family val="2"/>
      </rPr>
      <t>ANÁLISIS Y DISEÑO DE ALGORITMOS</t>
    </r>
    <r>
      <rPr>
        <sz val="10"/>
        <color theme="1"/>
        <rFont val="Calibri"/>
        <family val="2"/>
      </rPr>
      <t xml:space="preserve">
</t>
    </r>
    <r>
      <rPr>
        <sz val="10"/>
        <color rgb="FFFF0000"/>
        <rFont val="Calibri"/>
        <family val="2"/>
      </rPr>
      <t>G1</t>
    </r>
  </si>
  <si>
    <r>
      <rPr>
        <b/>
        <sz val="10"/>
        <color theme="1"/>
        <rFont val="Calibri"/>
        <family val="2"/>
      </rPr>
      <t>ECONOMÍA PARA LA GESTIÓN</t>
    </r>
    <r>
      <rPr>
        <sz val="10"/>
        <color theme="1"/>
        <rFont val="Calibri"/>
        <family val="2"/>
      </rPr>
      <t xml:space="preserve">
</t>
    </r>
    <r>
      <rPr>
        <sz val="10"/>
        <color rgb="FFFF0000"/>
        <rFont val="Calibri"/>
        <family val="2"/>
      </rPr>
      <t>G1</t>
    </r>
  </si>
  <si>
    <t>INNOVACIÓN, TECNOLOGIA Y EMPRENDIMIENTO</t>
  </si>
  <si>
    <r>
      <rPr>
        <b/>
        <sz val="10"/>
        <color theme="1"/>
        <rFont val="Calibri"/>
        <family val="2"/>
      </rPr>
      <t>BASE DE DATOS I 
PLAN 2023</t>
    </r>
    <r>
      <rPr>
        <sz val="10"/>
        <color theme="1"/>
        <rFont val="Calibri"/>
        <family val="2"/>
      </rPr>
      <t xml:space="preserve">
</t>
    </r>
    <r>
      <rPr>
        <sz val="10"/>
        <color rgb="FFFF0000"/>
        <rFont val="Calibri"/>
        <family val="2"/>
      </rPr>
      <t>G1</t>
    </r>
    <r>
      <rPr>
        <sz val="10"/>
        <color theme="1"/>
        <rFont val="Calibri"/>
        <family val="2"/>
      </rPr>
      <t xml:space="preserve">
</t>
    </r>
  </si>
  <si>
    <r>
      <rPr>
        <b/>
        <sz val="10"/>
        <color theme="1"/>
        <rFont val="Calibri"/>
        <family val="2"/>
      </rPr>
      <t xml:space="preserve">BASE DE DATOS I 
PLAN 2018 (6TO S)
</t>
    </r>
    <r>
      <rPr>
        <b/>
        <sz val="10"/>
        <color rgb="FFFF0000"/>
        <rFont val="Calibri"/>
        <family val="2"/>
      </rPr>
      <t xml:space="preserve">G1
</t>
    </r>
  </si>
  <si>
    <r>
      <rPr>
        <b/>
        <sz val="10"/>
        <color theme="1"/>
        <rFont val="Calibri"/>
        <family val="2"/>
      </rPr>
      <t>INGENIERÍA DE REQUISITOS</t>
    </r>
    <r>
      <rPr>
        <sz val="10"/>
        <color theme="1"/>
        <rFont val="Calibri"/>
        <family val="2"/>
      </rPr>
      <t xml:space="preserve">
</t>
    </r>
    <r>
      <rPr>
        <sz val="10"/>
        <color rgb="FFFF0000"/>
        <rFont val="Calibri"/>
        <family val="2"/>
      </rPr>
      <t>G1</t>
    </r>
  </si>
  <si>
    <r>
      <rPr>
        <b/>
        <sz val="10"/>
        <color theme="1"/>
        <rFont val="Calibri"/>
        <family val="2"/>
      </rPr>
      <t>LENGUAJES Y COMPILADORES
PLAN 2023</t>
    </r>
    <r>
      <rPr>
        <sz val="10"/>
        <color theme="1"/>
        <rFont val="Calibri"/>
        <family val="2"/>
      </rPr>
      <t xml:space="preserve">
</t>
    </r>
    <r>
      <rPr>
        <sz val="10"/>
        <color rgb="FFFF0000"/>
        <rFont val="Calibri"/>
        <family val="2"/>
      </rPr>
      <t xml:space="preserve">G1 </t>
    </r>
  </si>
  <si>
    <r>
      <rPr>
        <b/>
        <sz val="10"/>
        <color theme="1"/>
        <rFont val="Calibri"/>
        <family val="2"/>
      </rPr>
      <t>ARQUITECTURA DE COMPUTADORAS</t>
    </r>
    <r>
      <rPr>
        <sz val="10"/>
        <color theme="1"/>
        <rFont val="Calibri"/>
        <family val="2"/>
      </rPr>
      <t xml:space="preserve">
</t>
    </r>
    <r>
      <rPr>
        <sz val="10"/>
        <color rgb="FFFF0000"/>
        <rFont val="Calibri"/>
        <family val="2"/>
      </rPr>
      <t>G1</t>
    </r>
  </si>
  <si>
    <r>
      <rPr>
        <b/>
        <sz val="10"/>
        <color theme="1"/>
        <rFont val="Calibri"/>
        <family val="2"/>
      </rPr>
      <t xml:space="preserve">CALIDAD DE SOFTWARE 
PLAN 2018 </t>
    </r>
    <r>
      <rPr>
        <sz val="10"/>
        <color theme="1"/>
        <rFont val="Calibri"/>
        <family val="2"/>
      </rPr>
      <t xml:space="preserve">
</t>
    </r>
    <r>
      <rPr>
        <sz val="10"/>
        <color rgb="FFFF0000"/>
        <rFont val="Calibri"/>
        <family val="2"/>
      </rPr>
      <t xml:space="preserve">G2,G3 </t>
    </r>
    <r>
      <rPr>
        <sz val="10"/>
        <color theme="1"/>
        <rFont val="Calibri"/>
        <family val="2"/>
      </rPr>
      <t xml:space="preserve">
</t>
    </r>
  </si>
  <si>
    <t>SEXTO CICLO</t>
  </si>
  <si>
    <r>
      <rPr>
        <sz val="10"/>
        <color theme="1"/>
        <rFont val="Calibri"/>
        <family val="2"/>
      </rPr>
      <t xml:space="preserve">CALIDAD DE SOFTWARE 
2023 
</t>
    </r>
    <r>
      <rPr>
        <sz val="10"/>
        <color rgb="FFFF0000"/>
        <rFont val="Calibri"/>
        <family val="2"/>
      </rPr>
      <t>G3</t>
    </r>
  </si>
  <si>
    <r>
      <rPr>
        <b/>
        <sz val="9"/>
        <color theme="1"/>
        <rFont val="Calibri"/>
        <family val="2"/>
      </rPr>
      <t>GESTIÓN DE PROYECTO DE SOFTWARE
PLAN 2023</t>
    </r>
    <r>
      <rPr>
        <sz val="9"/>
        <color theme="1"/>
        <rFont val="Calibri"/>
        <family val="2"/>
      </rPr>
      <t xml:space="preserve">
</t>
    </r>
    <r>
      <rPr>
        <sz val="9"/>
        <color rgb="FFFF0000"/>
        <rFont val="Calibri"/>
        <family val="2"/>
      </rPr>
      <t xml:space="preserve">G3 </t>
    </r>
  </si>
  <si>
    <r>
      <rPr>
        <b/>
        <sz val="10"/>
        <color theme="1"/>
        <rFont val="Calibri"/>
        <family val="2"/>
      </rPr>
      <t xml:space="preserve">DISEÑO DE SOFTWARE
</t>
    </r>
    <r>
      <rPr>
        <b/>
        <sz val="10"/>
        <color rgb="FFFF0000"/>
        <rFont val="Calibri"/>
        <family val="2"/>
      </rPr>
      <t>G1</t>
    </r>
    <r>
      <rPr>
        <b/>
        <sz val="10"/>
        <color theme="1"/>
        <rFont val="Calibri"/>
        <family val="2"/>
      </rPr>
      <t xml:space="preserve">
G2</t>
    </r>
  </si>
  <si>
    <r>
      <rPr>
        <b/>
        <sz val="10"/>
        <color theme="1"/>
        <rFont val="Calibri"/>
        <family val="2"/>
      </rPr>
      <t xml:space="preserve">BASE DE DATOS II
PLAN 2018 2023
</t>
    </r>
    <r>
      <rPr>
        <b/>
        <sz val="10"/>
        <color rgb="FFFF0000"/>
        <rFont val="Calibri"/>
        <family val="2"/>
      </rPr>
      <t>G1
G2</t>
    </r>
    <r>
      <rPr>
        <b/>
        <sz val="10"/>
        <color theme="1"/>
        <rFont val="Calibri"/>
        <family val="2"/>
      </rPr>
      <t xml:space="preserve">
G3</t>
    </r>
  </si>
  <si>
    <r>
      <rPr>
        <b/>
        <sz val="10"/>
        <color theme="1"/>
        <rFont val="Calibri"/>
        <family val="2"/>
      </rPr>
      <t xml:space="preserve">SISTEMAS OPERATIVOS
</t>
    </r>
    <r>
      <rPr>
        <b/>
        <sz val="10"/>
        <color rgb="FFFF0000"/>
        <rFont val="Calibri"/>
        <family val="2"/>
      </rPr>
      <t xml:space="preserve">G1
G2 </t>
    </r>
  </si>
  <si>
    <r>
      <rPr>
        <b/>
        <sz val="10"/>
        <color theme="1"/>
        <rFont val="Calibri"/>
        <family val="2"/>
      </rPr>
      <t xml:space="preserve">GESTIÓN DE CONFIGURACIÓN DEL SOFTWARE
PLAN 2018
</t>
    </r>
    <r>
      <rPr>
        <b/>
        <sz val="10"/>
        <color rgb="FFFF0000"/>
        <rFont val="Calibri"/>
        <family val="2"/>
      </rPr>
      <t>G1</t>
    </r>
  </si>
  <si>
    <t>ETICA PROFESIONAL Y 
LEGISLACIÓN INFORMÁTICA
PLAN 2023
G3</t>
  </si>
  <si>
    <r>
      <rPr>
        <b/>
        <sz val="10"/>
        <color theme="1"/>
        <rFont val="Calibri"/>
        <family val="2"/>
      </rPr>
      <t xml:space="preserve">INTERACCIÓN HOMBRE COMPUTADOR
</t>
    </r>
    <r>
      <rPr>
        <b/>
        <sz val="10"/>
        <color rgb="FFFF0000"/>
        <rFont val="Calibri"/>
        <family val="2"/>
      </rPr>
      <t>G1
G2</t>
    </r>
  </si>
  <si>
    <r>
      <rPr>
        <b/>
        <sz val="10"/>
        <color theme="1"/>
        <rFont val="Calibri"/>
        <family val="2"/>
      </rPr>
      <t xml:space="preserve">DISEÑO DE SOFTWARE
</t>
    </r>
    <r>
      <rPr>
        <b/>
        <sz val="10"/>
        <color rgb="FFFF0000"/>
        <rFont val="Calibri"/>
        <family val="2"/>
      </rPr>
      <t>G3</t>
    </r>
  </si>
  <si>
    <r>
      <rPr>
        <b/>
        <sz val="10"/>
        <color theme="1"/>
        <rFont val="Calibri"/>
        <family val="2"/>
      </rPr>
      <t xml:space="preserve">FORMACIÓN DE EMPRESAS DE SOFTWARE
PLAN 2018
</t>
    </r>
    <r>
      <rPr>
        <b/>
        <sz val="10"/>
        <color rgb="FFFF0000"/>
        <rFont val="Calibri"/>
        <family val="2"/>
      </rPr>
      <t>G1</t>
    </r>
  </si>
  <si>
    <t>SISTEMAS OPERATIVOS
G3</t>
  </si>
  <si>
    <r>
      <rPr>
        <b/>
        <sz val="9"/>
        <color theme="1"/>
        <rFont val="Calibri"/>
        <family val="2"/>
      </rPr>
      <t xml:space="preserve">ETICA PROFESIONAL Y 
LEGISLACIÓN INFORMÁTICA
PLAN 2023
</t>
    </r>
    <r>
      <rPr>
        <b/>
        <sz val="9"/>
        <color rgb="FFFF0000"/>
        <rFont val="Calibri"/>
        <family val="2"/>
      </rPr>
      <t>G1</t>
    </r>
    <r>
      <rPr>
        <b/>
        <sz val="9"/>
        <color theme="1"/>
        <rFont val="Calibri"/>
        <family val="2"/>
      </rPr>
      <t>, G2</t>
    </r>
  </si>
  <si>
    <r>
      <rPr>
        <b/>
        <sz val="10"/>
        <color theme="1"/>
        <rFont val="Calibri"/>
        <family val="2"/>
      </rPr>
      <t xml:space="preserve">INTERACCIÓN HOMBRE COMPUTADOR
</t>
    </r>
    <r>
      <rPr>
        <b/>
        <sz val="10"/>
        <color rgb="FFFF0000"/>
        <rFont val="Calibri"/>
        <family val="2"/>
      </rPr>
      <t>G3</t>
    </r>
  </si>
  <si>
    <r>
      <rPr>
        <b/>
        <sz val="10"/>
        <color theme="1"/>
        <rFont val="Calibri"/>
        <family val="2"/>
      </rPr>
      <t>CALIDAD DE SOFTWARE 
PLAN 2023</t>
    </r>
    <r>
      <rPr>
        <b/>
        <sz val="10"/>
        <color theme="1"/>
        <rFont val="Calibri"/>
        <family val="2"/>
      </rPr>
      <t xml:space="preserve">
</t>
    </r>
    <r>
      <rPr>
        <b/>
        <sz val="10"/>
        <color rgb="FFFF0000"/>
        <rFont val="Calibri"/>
        <family val="2"/>
      </rPr>
      <t xml:space="preserve">G1 
G2 </t>
    </r>
    <r>
      <rPr>
        <b/>
        <sz val="10"/>
        <color theme="1"/>
        <rFont val="Calibri"/>
        <family val="2"/>
      </rPr>
      <t xml:space="preserve">
</t>
    </r>
  </si>
  <si>
    <r>
      <rPr>
        <b/>
        <sz val="9"/>
        <color theme="1"/>
        <rFont val="Calibri"/>
        <family val="2"/>
      </rPr>
      <t>GESTIÓN DE PROYECTO DE SOFTWARE
PLAN 2023</t>
    </r>
    <r>
      <rPr>
        <sz val="9"/>
        <color theme="1"/>
        <rFont val="Calibri"/>
        <family val="2"/>
      </rPr>
      <t xml:space="preserve">
</t>
    </r>
    <r>
      <rPr>
        <sz val="9"/>
        <color rgb="FFFF0000"/>
        <rFont val="Calibri"/>
        <family val="2"/>
      </rPr>
      <t>G1, G2</t>
    </r>
  </si>
  <si>
    <r>
      <rPr>
        <b/>
        <sz val="10"/>
        <color theme="1"/>
        <rFont val="Calibri"/>
        <family val="2"/>
      </rPr>
      <t xml:space="preserve">ASEGURAMIENTO DE LA CALIDAD DE SOFTWARE PLAN 2018
</t>
    </r>
    <r>
      <rPr>
        <b/>
        <sz val="10"/>
        <color rgb="FFFF0000"/>
        <rFont val="Calibri"/>
        <family val="2"/>
      </rPr>
      <t>G1</t>
    </r>
  </si>
  <si>
    <t>SEPTIMO CICLO</t>
  </si>
  <si>
    <r>
      <rPr>
        <b/>
        <sz val="10"/>
        <color theme="1"/>
        <rFont val="Calibri"/>
        <family val="2"/>
      </rPr>
      <t xml:space="preserve">ARQUITECTURA DE SOFTWARE
</t>
    </r>
    <r>
      <rPr>
        <b/>
        <sz val="10"/>
        <color rgb="FFFF0000"/>
        <rFont val="Calibri"/>
        <family val="2"/>
      </rPr>
      <t>G1* Contratar</t>
    </r>
  </si>
  <si>
    <r>
      <rPr>
        <b/>
        <sz val="10"/>
        <color rgb="FF000000"/>
        <rFont val="Calibri"/>
        <family val="2"/>
      </rPr>
      <t xml:space="preserve">BASE DE DATOS II
PLAN 2018
</t>
    </r>
    <r>
      <rPr>
        <b/>
        <sz val="10"/>
        <color rgb="FFFF0000"/>
        <rFont val="Calibri"/>
        <family val="2"/>
      </rPr>
      <t>G1
G2</t>
    </r>
    <r>
      <rPr>
        <b/>
        <sz val="10"/>
        <color rgb="FF000000"/>
        <rFont val="Calibri"/>
        <family val="2"/>
      </rPr>
      <t xml:space="preserve">
G3</t>
    </r>
  </si>
  <si>
    <r>
      <rPr>
        <b/>
        <sz val="10"/>
        <color theme="1"/>
        <rFont val="Calibri"/>
        <family val="2"/>
      </rPr>
      <t xml:space="preserve">EXPERIENCIA DE USUARIO Y USABILIDAD
PLAN 2018
</t>
    </r>
    <r>
      <rPr>
        <b/>
        <sz val="10"/>
        <color rgb="FFFF0000"/>
        <rFont val="Calibri"/>
        <family val="2"/>
      </rPr>
      <t xml:space="preserve">G1 </t>
    </r>
  </si>
  <si>
    <r>
      <rPr>
        <b/>
        <sz val="10"/>
        <color theme="1"/>
        <rFont val="Calibri"/>
        <family val="2"/>
      </rPr>
      <t xml:space="preserve">INTELIGENCIA ARTIFICIAL
PLAN 2018
</t>
    </r>
    <r>
      <rPr>
        <b/>
        <sz val="10"/>
        <color rgb="FFFF0000"/>
        <rFont val="Calibri"/>
        <family val="2"/>
      </rPr>
      <t>G1</t>
    </r>
  </si>
  <si>
    <r>
      <rPr>
        <b/>
        <sz val="10"/>
        <color theme="1"/>
        <rFont val="Calibri"/>
        <family val="2"/>
      </rPr>
      <t xml:space="preserve">METODOS FORMALES PARA PRUEBAS
PLAN 2018
</t>
    </r>
    <r>
      <rPr>
        <b/>
        <sz val="10"/>
        <color rgb="FFFF0000"/>
        <rFont val="Calibri"/>
        <family val="2"/>
      </rPr>
      <t>G1</t>
    </r>
    <r>
      <rPr>
        <b/>
        <sz val="10"/>
        <color theme="1"/>
        <rFont val="Calibri"/>
        <family val="2"/>
      </rPr>
      <t xml:space="preserve"> *Contratar</t>
    </r>
  </si>
  <si>
    <r>
      <rPr>
        <b/>
        <sz val="10"/>
        <color rgb="FF000000"/>
        <rFont val="Calibri"/>
        <family val="2"/>
      </rPr>
      <t xml:space="preserve">REDES Y TRANSMISIÓN DE DATOS
PLAN 2018
</t>
    </r>
    <r>
      <rPr>
        <b/>
        <sz val="10"/>
        <color rgb="FFFF0000"/>
        <rFont val="Calibri"/>
        <family val="2"/>
      </rPr>
      <t xml:space="preserve">G1 </t>
    </r>
  </si>
  <si>
    <r>
      <rPr>
        <b/>
        <sz val="10"/>
        <color theme="1"/>
        <rFont val="Calibri"/>
        <family val="2"/>
      </rPr>
      <t xml:space="preserve">GESTIÓN DE PROYECTO DE SOFTWARE
PLAN 2018
</t>
    </r>
    <r>
      <rPr>
        <b/>
        <sz val="10"/>
        <color rgb="FFFF0000"/>
        <rFont val="Calibri"/>
        <family val="2"/>
      </rPr>
      <t>G1</t>
    </r>
  </si>
  <si>
    <t>DE AQUÍ EN ADELANTE SOLO  PLAN  2018</t>
  </si>
  <si>
    <t xml:space="preserve">OCTAVO CICLO </t>
  </si>
  <si>
    <r>
      <rPr>
        <b/>
        <sz val="10"/>
        <color rgb="FF000000"/>
        <rFont val="Calibri"/>
        <family val="2"/>
      </rPr>
      <t xml:space="preserve">TALLER DE CONSTRUCCIÓN DE SOFTWARE WEB
</t>
    </r>
    <r>
      <rPr>
        <b/>
        <sz val="10"/>
        <color rgb="FFFF0000"/>
        <rFont val="Calibri"/>
        <family val="2"/>
      </rPr>
      <t>G1, G2</t>
    </r>
  </si>
  <si>
    <r>
      <rPr>
        <b/>
        <sz val="10"/>
        <color rgb="FF000000"/>
        <rFont val="Calibri"/>
        <family val="2"/>
      </rPr>
      <t xml:space="preserve">VERIFICACIÓN Y 
VALIDACIÓN DE 
SOFTWARE
</t>
    </r>
    <r>
      <rPr>
        <b/>
        <sz val="10"/>
        <color rgb="FFFF0000"/>
        <rFont val="Calibri"/>
        <family val="2"/>
      </rPr>
      <t>G1</t>
    </r>
    <r>
      <rPr>
        <b/>
        <sz val="10"/>
        <color rgb="FF000000"/>
        <rFont val="Calibri"/>
        <family val="2"/>
      </rPr>
      <t>, G2</t>
    </r>
  </si>
  <si>
    <r>
      <rPr>
        <b/>
        <sz val="10"/>
        <color rgb="FF000000"/>
        <rFont val="Calibri"/>
        <family val="2"/>
      </rPr>
      <t xml:space="preserve">METODOLOGIA DE LA INVESTIGACIÓN
</t>
    </r>
    <r>
      <rPr>
        <b/>
        <sz val="10"/>
        <color rgb="FFFF0000"/>
        <rFont val="Calibri"/>
        <family val="2"/>
      </rPr>
      <t>G1 G2 
G3 G4</t>
    </r>
  </si>
  <si>
    <r>
      <rPr>
        <b/>
        <sz val="10"/>
        <color theme="1"/>
        <rFont val="Calibri"/>
        <family val="2"/>
      </rPr>
      <t xml:space="preserve">INTELIGENCIA DE NEGOCIOS
</t>
    </r>
    <r>
      <rPr>
        <b/>
        <sz val="10"/>
        <color rgb="FFFF0000"/>
        <rFont val="Calibri"/>
        <family val="2"/>
      </rPr>
      <t>G1, G2</t>
    </r>
  </si>
  <si>
    <r>
      <rPr>
        <b/>
        <sz val="10"/>
        <color theme="1"/>
        <rFont val="Calibri"/>
        <family val="2"/>
      </rPr>
      <t xml:space="preserve">MINERIA DE DATOS
</t>
    </r>
    <r>
      <rPr>
        <b/>
        <sz val="10"/>
        <color rgb="FFFF0000"/>
        <rFont val="Calibri"/>
        <family val="2"/>
      </rPr>
      <t>G1, G2</t>
    </r>
    <r>
      <rPr>
        <b/>
        <sz val="10"/>
        <color theme="1"/>
        <rFont val="Calibri"/>
        <family val="2"/>
      </rPr>
      <t xml:space="preserve"> </t>
    </r>
  </si>
  <si>
    <r>
      <rPr>
        <b/>
        <sz val="10"/>
        <color theme="1"/>
        <rFont val="Calibri"/>
        <family val="2"/>
      </rPr>
      <t xml:space="preserve">AUTOMATIZACIÓN Y CONTROL DE SOFTWARE
</t>
    </r>
    <r>
      <rPr>
        <b/>
        <sz val="10"/>
        <color rgb="FFFF0000"/>
        <rFont val="Calibri"/>
        <family val="2"/>
      </rPr>
      <t>G1</t>
    </r>
    <r>
      <rPr>
        <b/>
        <sz val="10"/>
        <color theme="1"/>
        <rFont val="Calibri"/>
        <family val="2"/>
      </rPr>
      <t xml:space="preserve">
G2 * Contratar</t>
    </r>
  </si>
  <si>
    <r>
      <rPr>
        <b/>
        <sz val="10"/>
        <color theme="1"/>
        <rFont val="Calibri"/>
        <family val="2"/>
      </rPr>
      <t xml:space="preserve">PROGRAMACIÓN CONCURRENTE Y PARALELA
</t>
    </r>
    <r>
      <rPr>
        <b/>
        <sz val="10"/>
        <color rgb="FFFF0000"/>
        <rFont val="Calibri"/>
        <family val="2"/>
      </rPr>
      <t xml:space="preserve">G1 </t>
    </r>
    <r>
      <rPr>
        <b/>
        <sz val="10"/>
        <color theme="1"/>
        <rFont val="Calibri"/>
        <family val="2"/>
      </rPr>
      <t xml:space="preserve">
G2 * Contratar</t>
    </r>
  </si>
  <si>
    <r>
      <rPr>
        <b/>
        <sz val="10"/>
        <color rgb="FF000000"/>
        <rFont val="Calibri"/>
        <family val="2"/>
      </rPr>
      <t xml:space="preserve">SEGURIDAD DE SOFTWARE
</t>
    </r>
    <r>
      <rPr>
        <b/>
        <sz val="10"/>
        <color rgb="FFFF0000"/>
        <rFont val="Calibri"/>
        <family val="2"/>
      </rPr>
      <t xml:space="preserve">G1 * UGAZ </t>
    </r>
    <r>
      <rPr>
        <b/>
        <sz val="10"/>
        <color rgb="FF000000"/>
        <rFont val="Calibri"/>
        <family val="2"/>
      </rPr>
      <t xml:space="preserve">
G2</t>
    </r>
  </si>
  <si>
    <r>
      <rPr>
        <b/>
        <sz val="10"/>
        <color rgb="FF000000"/>
        <rFont val="Calibri"/>
        <family val="2"/>
      </rPr>
      <t xml:space="preserve">METODOLOGIA DE LA INVESTIGACIÓN
</t>
    </r>
    <r>
      <rPr>
        <b/>
        <sz val="10"/>
        <color rgb="FFFF0000"/>
        <rFont val="Calibri"/>
        <family val="2"/>
      </rPr>
      <t>G5</t>
    </r>
  </si>
  <si>
    <t xml:space="preserve">NOVENO CICLO </t>
  </si>
  <si>
    <r>
      <rPr>
        <b/>
        <sz val="10"/>
        <color theme="1"/>
        <rFont val="Calibri"/>
        <family val="2"/>
      </rPr>
      <t xml:space="preserve">TALLER DE CONSTRUCCIÓN DE SOFTWARE MOVIL
</t>
    </r>
    <r>
      <rPr>
        <b/>
        <sz val="10"/>
        <color rgb="FFFF0000"/>
        <rFont val="Calibri"/>
        <family val="2"/>
      </rPr>
      <t xml:space="preserve">G1 </t>
    </r>
  </si>
  <si>
    <r>
      <rPr>
        <b/>
        <sz val="10"/>
        <color theme="1"/>
        <rFont val="Calibri"/>
        <family val="2"/>
      </rPr>
      <t xml:space="preserve">GERENCIA DE TECNOLOGÍA DE LA INFORMACIÓN
</t>
    </r>
    <r>
      <rPr>
        <b/>
        <sz val="10"/>
        <color rgb="FFFF0000"/>
        <rFont val="Calibri"/>
        <family val="2"/>
      </rPr>
      <t xml:space="preserve">G1 </t>
    </r>
  </si>
  <si>
    <r>
      <rPr>
        <b/>
        <sz val="10"/>
        <color theme="1"/>
        <rFont val="Calibri"/>
        <family val="2"/>
      </rPr>
      <t xml:space="preserve">GARANTIA DE SOFTWARE
</t>
    </r>
    <r>
      <rPr>
        <b/>
        <sz val="10"/>
        <color rgb="FFFF0000"/>
        <rFont val="Calibri"/>
        <family val="2"/>
      </rPr>
      <t>G1</t>
    </r>
  </si>
  <si>
    <r>
      <rPr>
        <b/>
        <sz val="10"/>
        <color theme="1"/>
        <rFont val="Calibri"/>
        <family val="2"/>
      </rPr>
      <t xml:space="preserve">GESTIÓN DEL RIESGO DEL SOFTWARE
</t>
    </r>
    <r>
      <rPr>
        <b/>
        <sz val="10"/>
        <color rgb="FFFF0000"/>
        <rFont val="Calibri"/>
        <family val="2"/>
      </rPr>
      <t xml:space="preserve">G1 </t>
    </r>
  </si>
  <si>
    <r>
      <rPr>
        <b/>
        <sz val="10"/>
        <color theme="1"/>
        <rFont val="Calibri"/>
        <family val="2"/>
      </rPr>
      <t xml:space="preserve">SOFTWARE INTELIGENTE
</t>
    </r>
    <r>
      <rPr>
        <b/>
        <sz val="10"/>
        <color rgb="FFFF0000"/>
        <rFont val="Calibri"/>
        <family val="2"/>
      </rPr>
      <t xml:space="preserve">G1 </t>
    </r>
  </si>
  <si>
    <r>
      <rPr>
        <b/>
        <sz val="10"/>
        <color theme="1"/>
        <rFont val="Calibri"/>
        <family val="2"/>
      </rPr>
      <t xml:space="preserve">DESARROLLO DE TESIS I
</t>
    </r>
    <r>
      <rPr>
        <b/>
        <sz val="10"/>
        <color rgb="FFFF0000"/>
        <rFont val="Calibri"/>
        <family val="2"/>
      </rPr>
      <t>G1 G2 G3</t>
    </r>
  </si>
  <si>
    <r>
      <rPr>
        <b/>
        <sz val="10"/>
        <color theme="1"/>
        <rFont val="Calibri"/>
        <family val="2"/>
      </rPr>
      <t xml:space="preserve">INTERNET DE LAS COSAS
</t>
    </r>
    <r>
      <rPr>
        <b/>
        <sz val="10"/>
        <color rgb="FFFF0000"/>
        <rFont val="Calibri"/>
        <family val="2"/>
      </rPr>
      <t>G1</t>
    </r>
  </si>
  <si>
    <r>
      <rPr>
        <b/>
        <sz val="10"/>
        <color rgb="FF000000"/>
        <rFont val="Calibri"/>
        <family val="2"/>
      </rPr>
      <t xml:space="preserve">GESTIÓN DE MANTENIMIENTO DEL SOFTWARE
</t>
    </r>
    <r>
      <rPr>
        <b/>
        <sz val="10"/>
        <color rgb="FFFF0000"/>
        <rFont val="Calibri"/>
        <family val="2"/>
      </rPr>
      <t>G1</t>
    </r>
  </si>
  <si>
    <t xml:space="preserve">DECIMO CICLO </t>
  </si>
  <si>
    <r>
      <rPr>
        <b/>
        <sz val="10"/>
        <color theme="1"/>
        <rFont val="Calibri"/>
        <family val="2"/>
      </rPr>
      <t xml:space="preserve">PRÁCTICA PRE PROFESIONAL
</t>
    </r>
    <r>
      <rPr>
        <b/>
        <sz val="10"/>
        <color rgb="FFFF0000"/>
        <rFont val="Calibri"/>
        <family val="2"/>
      </rPr>
      <t>G1 , G2</t>
    </r>
  </si>
  <si>
    <r>
      <rPr>
        <b/>
        <sz val="10"/>
        <color theme="1"/>
        <rFont val="Calibri"/>
        <family val="2"/>
      </rPr>
      <t xml:space="preserve">DESARROLLO DE TESIS II
</t>
    </r>
    <r>
      <rPr>
        <b/>
        <sz val="10"/>
        <color rgb="FFFF0000"/>
        <rFont val="Calibri"/>
        <family val="2"/>
      </rPr>
      <t>G5</t>
    </r>
  </si>
  <si>
    <r>
      <rPr>
        <b/>
        <sz val="10"/>
        <color theme="1"/>
        <rFont val="Calibri"/>
        <family val="2"/>
      </rPr>
      <t xml:space="preserve">TALLER DE APLICACIONES SOCIALES
</t>
    </r>
    <r>
      <rPr>
        <b/>
        <sz val="10"/>
        <color rgb="FFFF0000"/>
        <rFont val="Calibri"/>
        <family val="2"/>
      </rPr>
      <t>G1</t>
    </r>
    <r>
      <rPr>
        <b/>
        <sz val="10"/>
        <color theme="1"/>
        <rFont val="Calibri"/>
        <family val="2"/>
      </rPr>
      <t xml:space="preserve"> G2</t>
    </r>
  </si>
  <si>
    <r>
      <rPr>
        <b/>
        <sz val="10"/>
        <color theme="1"/>
        <rFont val="Calibri"/>
        <family val="2"/>
      </rPr>
      <t xml:space="preserve">TENDENCIAS EN ARQUITECTURA DE SOFTWARE
</t>
    </r>
    <r>
      <rPr>
        <b/>
        <sz val="10"/>
        <color rgb="FFFF0000"/>
        <rFont val="Calibri"/>
        <family val="2"/>
      </rPr>
      <t xml:space="preserve">G1 </t>
    </r>
    <r>
      <rPr>
        <b/>
        <sz val="10"/>
        <color theme="1"/>
        <rFont val="Calibri"/>
        <family val="2"/>
      </rPr>
      <t>* Jorge Del Mar</t>
    </r>
    <r>
      <rPr>
        <b/>
        <sz val="10"/>
        <color rgb="FFFF0000"/>
        <rFont val="Calibri"/>
        <family val="2"/>
      </rPr>
      <t xml:space="preserve"> </t>
    </r>
    <r>
      <rPr>
        <b/>
        <sz val="10"/>
        <color theme="1"/>
        <rFont val="Calibri"/>
        <family val="2"/>
      </rPr>
      <t xml:space="preserve">                                                               G2</t>
    </r>
  </si>
  <si>
    <r>
      <rPr>
        <b/>
        <sz val="10"/>
        <color theme="1"/>
        <rFont val="Calibri"/>
        <family val="2"/>
      </rPr>
      <t xml:space="preserve">ANALÍTICA DE DATOS
</t>
    </r>
    <r>
      <rPr>
        <b/>
        <sz val="10"/>
        <color rgb="FFFF0000"/>
        <rFont val="Calibri"/>
        <family val="2"/>
      </rPr>
      <t xml:space="preserve">G1 </t>
    </r>
    <r>
      <rPr>
        <b/>
        <sz val="10"/>
        <color theme="1"/>
        <rFont val="Calibri"/>
        <family val="2"/>
      </rPr>
      <t xml:space="preserve"> * Jorge Del Mar    </t>
    </r>
    <r>
      <rPr>
        <b/>
        <sz val="10"/>
        <color rgb="FFFF0000"/>
        <rFont val="Calibri"/>
        <family val="2"/>
      </rPr>
      <t xml:space="preserve">
</t>
    </r>
    <r>
      <rPr>
        <b/>
        <sz val="10"/>
        <color theme="1"/>
        <rFont val="Calibri"/>
        <family val="2"/>
      </rPr>
      <t>G2</t>
    </r>
  </si>
  <si>
    <r>
      <rPr>
        <b/>
        <sz val="10"/>
        <color theme="1"/>
        <rFont val="Calibri"/>
        <family val="2"/>
      </rPr>
      <t xml:space="preserve">DESARROLLO DE TESIS II
</t>
    </r>
    <r>
      <rPr>
        <b/>
        <sz val="10"/>
        <color rgb="FFFF0000"/>
        <rFont val="Calibri"/>
        <family val="2"/>
      </rPr>
      <t>G1 
G2 
G3
G4</t>
    </r>
    <r>
      <rPr>
        <b/>
        <sz val="10"/>
        <color theme="1"/>
        <rFont val="Calibri"/>
        <family val="2"/>
      </rPr>
      <t xml:space="preserve"> Herrera Quispe</t>
    </r>
  </si>
  <si>
    <r>
      <rPr>
        <b/>
        <sz val="10"/>
        <color rgb="FF000000"/>
        <rFont val="Calibri"/>
        <family val="2"/>
      </rPr>
      <t xml:space="preserve">TENDENCIAS EN INGENIERÍA DE SOFTWARE Y GESTIÓN
</t>
    </r>
    <r>
      <rPr>
        <b/>
        <sz val="10"/>
        <color rgb="FFFF0000"/>
        <rFont val="Calibri"/>
        <family val="2"/>
      </rPr>
      <t xml:space="preserve">G1 </t>
    </r>
    <r>
      <rPr>
        <b/>
        <sz val="10"/>
        <color rgb="FF000000"/>
        <rFont val="Calibri"/>
        <family val="2"/>
      </rPr>
      <t>Arturo Bartra</t>
    </r>
    <r>
      <rPr>
        <b/>
        <sz val="10"/>
        <color rgb="FFFF0000"/>
        <rFont val="Calibri"/>
        <family val="2"/>
      </rPr>
      <t xml:space="preserve">
G2</t>
    </r>
  </si>
  <si>
    <t>CORTEZ VÁSQUEZ, Augusto Parcemon</t>
  </si>
  <si>
    <t>NAVARRO DEPAZ, Carlos Edmundo</t>
  </si>
  <si>
    <t>ALARCÓN LOAYZA, Luis Alberto</t>
  </si>
  <si>
    <t>GAMBOA CRUZADO, Javier Arturo</t>
  </si>
  <si>
    <t>PUELLES BULNES, Maria Elizabeth</t>
  </si>
  <si>
    <t>CÁNEPA PÉREZ, Carlos Alberto</t>
  </si>
  <si>
    <t>GUERRA GRADOS, Luis Angel</t>
  </si>
  <si>
    <t>CONTRERAS FLORES, Walter Pedro</t>
  </si>
  <si>
    <t>TRUJILLO TREJO, John Ledgard</t>
  </si>
  <si>
    <t>AVENDAÑO QUIROZ, Johnny Roberto</t>
  </si>
  <si>
    <t xml:space="preserve">RUIZ DE LA CRUZ MELO, Carlos Augusto </t>
  </si>
  <si>
    <t>DIAZ MUÑANTE, Jorge Raúl</t>
  </si>
  <si>
    <t>MOLINA NEYRA, César Alberto</t>
  </si>
  <si>
    <t>DEL PINO RODRÍGUEZ, Luz Corina</t>
  </si>
  <si>
    <t>MAGUIÑA PÉREZ, Rolando Alberto</t>
  </si>
  <si>
    <t>HERRERA QUISPE, José Alfredo</t>
  </si>
  <si>
    <t>FERMIN PEREZ, Felix Armando</t>
  </si>
  <si>
    <t>GUERRA GUERRA, Jorge Leoncio</t>
  </si>
  <si>
    <t>G4</t>
  </si>
  <si>
    <t>ZAVALETA CAMPOS, Jorge Luis</t>
  </si>
  <si>
    <t>MAC DOWALL REYNOSO, Erwin</t>
  </si>
  <si>
    <t>ESPINOZA ROBLES, Armando David</t>
  </si>
  <si>
    <t>LÓPEZ VILLANUEVA, Pablo Edwin</t>
  </si>
  <si>
    <t>MENENDEZ MUERAS, Rosa</t>
  </si>
  <si>
    <t>GUZMÁN MONTEZA, Yudi Lucero</t>
  </si>
  <si>
    <t>QUIÑONES NIETO, Yamil Alexander</t>
  </si>
  <si>
    <t>VALCARCEL ASCENCIOS, Sergio Paulo</t>
  </si>
  <si>
    <t>SOTELO BEDÓN, Adolfo Marcos</t>
  </si>
  <si>
    <t>MENÉNDEZ MUERAS ROSA</t>
  </si>
  <si>
    <t>TORIBIO SAAVEDRA RICHARD</t>
  </si>
  <si>
    <t>GALARRETA DÍAZ JOSÉ</t>
  </si>
  <si>
    <t>MENDOZA SOLIS JACINTO</t>
  </si>
  <si>
    <t>HUAROTO SUMARI JUSTA CARIDAD</t>
  </si>
  <si>
    <t>LUNA VALDEZ JUAN HONORATO</t>
  </si>
  <si>
    <t>COLCA</t>
  </si>
  <si>
    <t>CONVERSAR CON EL DIRECTOR</t>
  </si>
  <si>
    <t>APERTURAR PLAN 2018</t>
  </si>
  <si>
    <t>202W0605</t>
  </si>
  <si>
    <t>202SW0706</t>
  </si>
  <si>
    <t>PRUEBAS DE SOFTWARE</t>
  </si>
  <si>
    <t>202SW0602 / 202SW0603</t>
  </si>
  <si>
    <t>aperturar curso</t>
  </si>
  <si>
    <t>aperturar grupo</t>
  </si>
  <si>
    <t>10+5</t>
  </si>
  <si>
    <t>10+15</t>
  </si>
  <si>
    <t>agregar cupos</t>
  </si>
  <si>
    <t>GAMBOA CRUZADO JAVIER</t>
  </si>
  <si>
    <t>AGREGAR NOMBRE DEL DOCENTE</t>
  </si>
  <si>
    <t>APERTURAR PLAN 2015</t>
  </si>
  <si>
    <t>30+5</t>
  </si>
  <si>
    <t>AGREGAR CUPOS</t>
  </si>
  <si>
    <t>40+5</t>
  </si>
  <si>
    <t>30+10</t>
  </si>
  <si>
    <t>dice plan 2023 debe decir 2018</t>
  </si>
  <si>
    <t>dice plan 2023 debe decir plan 2018</t>
  </si>
  <si>
    <t>aperturar plan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</si>
</sst>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\-d"/>
  </numFmts>
  <fonts count="68" x14ac:knownFonts="1">
    <font>
      <sz val="10"/>
      <color rgb="FF000000"/>
      <name val="Arial"/>
      <scheme val="minor"/>
    </font>
    <font>
      <sz val="10"/>
      <color theme="1"/>
      <name val="Calibri"/>
      <family val="2"/>
    </font>
    <font>
      <sz val="10"/>
      <name val="Arial"/>
      <family val="2"/>
    </font>
    <font>
      <b/>
      <sz val="12"/>
      <color theme="1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000000"/>
      <name val="Arial"/>
      <family val="2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sz val="10"/>
      <color rgb="FFFF00FF"/>
      <name val="Calibri"/>
      <family val="2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FF0000"/>
      <name val="Calibri"/>
      <family val="2"/>
    </font>
    <font>
      <sz val="10"/>
      <color rgb="FFCC0000"/>
      <name val="Calibri"/>
      <family val="2"/>
    </font>
    <font>
      <b/>
      <sz val="10"/>
      <color rgb="FFFF0000"/>
      <name val="Calibri"/>
      <family val="2"/>
    </font>
    <font>
      <sz val="10"/>
      <color rgb="FF000000"/>
      <name val="Arial"/>
      <family val="2"/>
    </font>
    <font>
      <sz val="10"/>
      <color rgb="FF434343"/>
      <name val="Calibri"/>
      <family val="2"/>
    </font>
    <font>
      <sz val="10"/>
      <color rgb="FFFF0000"/>
      <name val="Arial"/>
      <family val="2"/>
    </font>
    <font>
      <b/>
      <sz val="10"/>
      <color rgb="FFCC00FF"/>
      <name val="Calibri"/>
      <family val="2"/>
    </font>
    <font>
      <sz val="10"/>
      <color rgb="FFEA4335"/>
      <name val="Calibri"/>
      <family val="2"/>
    </font>
    <font>
      <sz val="10"/>
      <color theme="8"/>
      <name val="Calibri"/>
      <family val="2"/>
    </font>
    <font>
      <b/>
      <sz val="11"/>
      <color rgb="FFFFFFFF"/>
      <name val="Calibri"/>
      <family val="2"/>
    </font>
    <font>
      <sz val="9"/>
      <color rgb="FFFF0000"/>
      <name val="Arial"/>
      <family val="2"/>
    </font>
    <font>
      <b/>
      <sz val="10"/>
      <color rgb="FF1F1F1F"/>
      <name val="Calibri"/>
      <family val="2"/>
    </font>
    <font>
      <b/>
      <sz val="10"/>
      <color rgb="FFFF9900"/>
      <name val="Calibri"/>
      <family val="2"/>
    </font>
    <font>
      <b/>
      <i/>
      <sz val="10"/>
      <color rgb="FFFF0000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b/>
      <sz val="14"/>
      <color rgb="FF000000"/>
      <name val="Calibri"/>
      <family val="2"/>
    </font>
    <font>
      <sz val="9"/>
      <color rgb="FFFF0000"/>
      <name val="Calibri"/>
      <family val="2"/>
    </font>
    <font>
      <b/>
      <sz val="9"/>
      <color rgb="FFFF0000"/>
      <name val="Calibri"/>
      <family val="2"/>
    </font>
    <font>
      <b/>
      <sz val="14"/>
      <color theme="4" tint="-0.249977111117893"/>
      <name val="Arial Black"/>
      <family val="2"/>
    </font>
    <font>
      <b/>
      <sz val="10"/>
      <color theme="1"/>
      <name val="Calibri"/>
      <family val="2"/>
    </font>
    <font>
      <b/>
      <sz val="10"/>
      <color rgb="FF000000"/>
      <name val="Arial"/>
      <family val="2"/>
      <scheme val="minor"/>
    </font>
    <font>
      <b/>
      <sz val="14"/>
      <color theme="1"/>
      <name val="Calibri"/>
      <family val="2"/>
    </font>
    <font>
      <b/>
      <sz val="14"/>
      <name val="Arial"/>
      <family val="2"/>
    </font>
    <font>
      <b/>
      <sz val="14"/>
      <color theme="1"/>
      <name val="Arial Black"/>
      <family val="2"/>
    </font>
    <font>
      <b/>
      <sz val="14"/>
      <color rgb="FF000000"/>
      <name val="Arial Black"/>
      <family val="2"/>
    </font>
    <font>
      <b/>
      <sz val="18"/>
      <color theme="1"/>
      <name val="Calibri"/>
      <family val="2"/>
    </font>
    <font>
      <b/>
      <sz val="18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1F1F1F"/>
      <name val="Arial"/>
      <family val="2"/>
    </font>
    <font>
      <b/>
      <sz val="11"/>
      <color rgb="FFED0000"/>
      <name val="Calibri"/>
      <family val="2"/>
    </font>
    <font>
      <b/>
      <sz val="11"/>
      <color rgb="FF9900FF"/>
      <name val="Calibri"/>
      <family val="2"/>
    </font>
    <font>
      <b/>
      <sz val="10"/>
      <color rgb="FFCC00FF"/>
      <name val="Arial"/>
      <family val="2"/>
    </font>
    <font>
      <b/>
      <sz val="10"/>
      <color rgb="FFFF00FF"/>
      <name val="Arial"/>
      <family val="2"/>
    </font>
    <font>
      <b/>
      <sz val="11"/>
      <color theme="5"/>
      <name val="Calibri"/>
      <family val="2"/>
    </font>
    <font>
      <sz val="8"/>
      <name val="Arial"/>
      <family val="2"/>
      <scheme val="minor"/>
    </font>
    <font>
      <b/>
      <sz val="10"/>
      <color rgb="FFED0000"/>
      <name val="Calibri"/>
      <family val="2"/>
    </font>
    <font>
      <sz val="10"/>
      <color rgb="FFED0000"/>
      <name val="Calibri"/>
      <family val="2"/>
    </font>
    <font>
      <sz val="10"/>
      <color rgb="FFED0000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0"/>
      <color rgb="FFED0000"/>
      <name val="Arial"/>
      <family val="2"/>
    </font>
    <font>
      <b/>
      <sz val="10"/>
      <color theme="1"/>
      <name val="Arial"/>
      <family val="2"/>
      <scheme val="minor"/>
    </font>
    <font>
      <b/>
      <sz val="11"/>
      <color rgb="FFCC00FF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sz val="10"/>
      <color theme="4" tint="-0.249977111117893"/>
      <name val="Calibri"/>
      <family val="2"/>
    </font>
    <font>
      <b/>
      <sz val="11"/>
      <color theme="0"/>
      <name val="Calibri"/>
      <family val="2"/>
    </font>
    <font>
      <b/>
      <sz val="10"/>
      <name val="Calibri"/>
      <family val="2"/>
    </font>
    <font>
      <sz val="10"/>
      <color theme="5"/>
      <name val="Calibri"/>
      <family val="2"/>
    </font>
    <font>
      <sz val="11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CFE2F3"/>
        <bgColor rgb="FFCFE2F3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D9E6FC"/>
        <bgColor rgb="FFD9E6FC"/>
      </patternFill>
    </fill>
    <fill>
      <patternFill patternType="solid">
        <fgColor rgb="FFBDD7EE"/>
        <bgColor rgb="FFBDD7EE"/>
      </patternFill>
    </fill>
    <fill>
      <patternFill patternType="solid">
        <fgColor rgb="FFFFF2CC"/>
        <bgColor rgb="FFFFF2CC"/>
      </patternFill>
    </fill>
    <fill>
      <patternFill patternType="solid">
        <fgColor rgb="FFD2F1DA"/>
        <bgColor rgb="FFD2F1DA"/>
      </patternFill>
    </fill>
    <fill>
      <patternFill patternType="solid">
        <fgColor rgb="FFFF66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theme="0"/>
      </patternFill>
    </fill>
    <fill>
      <patternFill patternType="solid">
        <fgColor theme="9"/>
        <bgColor indexed="64"/>
      </patternFill>
    </fill>
    <fill>
      <patternFill patternType="solid">
        <fgColor theme="9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theme="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theme="0"/>
      </patternFill>
    </fill>
    <fill>
      <patternFill patternType="solid">
        <fgColor rgb="FFFFC000"/>
        <bgColor rgb="FFBFBFBF"/>
      </patternFill>
    </fill>
    <fill>
      <patternFill patternType="solid">
        <fgColor rgb="FFFFC000"/>
        <bgColor rgb="FFCFE2F3"/>
      </patternFill>
    </fill>
  </fills>
  <borders count="5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723">
    <xf numFmtId="0" fontId="0" fillId="0" borderId="0" xfId="0"/>
    <xf numFmtId="0" fontId="1" fillId="0" borderId="0" xfId="0" applyFont="1"/>
    <xf numFmtId="0" fontId="1" fillId="0" borderId="5" xfId="0" applyFont="1" applyBorder="1"/>
    <xf numFmtId="0" fontId="8" fillId="0" borderId="5" xfId="0" applyFont="1" applyBorder="1"/>
    <xf numFmtId="0" fontId="8" fillId="0" borderId="0" xfId="0" applyFont="1"/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/>
    <xf numFmtId="0" fontId="4" fillId="0" borderId="1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7" fillId="0" borderId="11" xfId="0" applyFont="1" applyBorder="1"/>
    <xf numFmtId="0" fontId="18" fillId="0" borderId="11" xfId="0" applyFont="1" applyBorder="1"/>
    <xf numFmtId="0" fontId="5" fillId="0" borderId="11" xfId="0" applyFont="1" applyBorder="1"/>
    <xf numFmtId="0" fontId="19" fillId="0" borderId="5" xfId="0" applyFont="1" applyBorder="1"/>
    <xf numFmtId="0" fontId="19" fillId="0" borderId="0" xfId="0" applyFont="1"/>
    <xf numFmtId="0" fontId="1" fillId="0" borderId="13" xfId="0" applyFont="1" applyBorder="1" applyAlignment="1">
      <alignment horizontal="center" vertical="center" wrapText="1"/>
    </xf>
    <xf numFmtId="0" fontId="5" fillId="3" borderId="5" xfId="0" applyFont="1" applyFill="1" applyBorder="1" applyAlignment="1">
      <alignment vertical="center"/>
    </xf>
    <xf numFmtId="0" fontId="14" fillId="0" borderId="0" xfId="0" applyFont="1"/>
    <xf numFmtId="0" fontId="8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0" borderId="17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14" xfId="0" applyFont="1" applyBorder="1" applyAlignment="1">
      <alignment horizontal="left" vertical="top"/>
    </xf>
    <xf numFmtId="0" fontId="27" fillId="0" borderId="5" xfId="0" applyFont="1" applyBorder="1" applyAlignment="1">
      <alignment vertical="top"/>
    </xf>
    <xf numFmtId="0" fontId="28" fillId="10" borderId="5" xfId="0" applyFont="1" applyFill="1" applyBorder="1" applyAlignment="1">
      <alignment horizontal="left" vertical="top"/>
    </xf>
    <xf numFmtId="0" fontId="15" fillId="0" borderId="5" xfId="0" applyFont="1" applyBorder="1" applyAlignment="1">
      <alignment horizontal="left" vertical="top"/>
    </xf>
    <xf numFmtId="0" fontId="15" fillId="0" borderId="30" xfId="0" applyFont="1" applyBorder="1" applyAlignment="1">
      <alignment horizontal="left" vertical="top"/>
    </xf>
    <xf numFmtId="0" fontId="15" fillId="0" borderId="17" xfId="0" applyFont="1" applyBorder="1" applyAlignment="1">
      <alignment horizontal="center"/>
    </xf>
    <xf numFmtId="0" fontId="15" fillId="0" borderId="14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7" fillId="7" borderId="41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4" fillId="0" borderId="30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0" fontId="8" fillId="0" borderId="17" xfId="0" applyFont="1" applyBorder="1"/>
    <xf numFmtId="0" fontId="15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1" fillId="11" borderId="42" xfId="0" applyFont="1" applyFill="1" applyBorder="1" applyAlignment="1">
      <alignment horizontal="center" wrapText="1"/>
    </xf>
    <xf numFmtId="0" fontId="5" fillId="0" borderId="5" xfId="0" applyFont="1" applyBorder="1" applyAlignment="1">
      <alignment vertical="top"/>
    </xf>
    <xf numFmtId="0" fontId="1" fillId="11" borderId="22" xfId="0" applyFont="1" applyFill="1" applyBorder="1" applyAlignment="1">
      <alignment horizontal="center" wrapText="1"/>
    </xf>
    <xf numFmtId="0" fontId="1" fillId="11" borderId="7" xfId="0" applyFont="1" applyFill="1" applyBorder="1" applyAlignment="1">
      <alignment horizont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left" vertical="top"/>
    </xf>
    <xf numFmtId="0" fontId="8" fillId="0" borderId="0" xfId="0" applyFont="1" applyAlignment="1">
      <alignment vertical="top"/>
    </xf>
    <xf numFmtId="0" fontId="10" fillId="0" borderId="5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8" fillId="0" borderId="29" xfId="0" applyFont="1" applyBorder="1"/>
    <xf numFmtId="0" fontId="28" fillId="0" borderId="5" xfId="0" applyFont="1" applyBorder="1" applyAlignment="1">
      <alignment vertical="top"/>
    </xf>
    <xf numFmtId="0" fontId="8" fillId="0" borderId="14" xfId="0" applyFont="1" applyBorder="1"/>
    <xf numFmtId="0" fontId="7" fillId="0" borderId="0" xfId="0" applyFont="1" applyAlignment="1">
      <alignment horizontal="left" vertical="top"/>
    </xf>
    <xf numFmtId="0" fontId="1" fillId="0" borderId="0" xfId="0" applyFont="1" applyAlignment="1">
      <alignment horizontal="center" vertical="center" wrapText="1"/>
    </xf>
    <xf numFmtId="0" fontId="15" fillId="0" borderId="34" xfId="0" applyFont="1" applyBorder="1" applyAlignment="1">
      <alignment horizontal="left" vertical="top"/>
    </xf>
    <xf numFmtId="0" fontId="7" fillId="5" borderId="5" xfId="0" applyFont="1" applyFill="1" applyBorder="1" applyAlignment="1">
      <alignment horizontal="left" vertical="top"/>
    </xf>
    <xf numFmtId="0" fontId="7" fillId="5" borderId="43" xfId="0" applyFont="1" applyFill="1" applyBorder="1" applyAlignment="1">
      <alignment horizontal="left" vertical="top"/>
    </xf>
    <xf numFmtId="0" fontId="7" fillId="5" borderId="6" xfId="0" applyFont="1" applyFill="1" applyBorder="1" applyAlignment="1">
      <alignment horizontal="left" vertical="top"/>
    </xf>
    <xf numFmtId="0" fontId="7" fillId="5" borderId="28" xfId="0" applyFont="1" applyFill="1" applyBorder="1" applyAlignment="1">
      <alignment horizontal="left" vertical="top"/>
    </xf>
    <xf numFmtId="0" fontId="7" fillId="0" borderId="35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1" fillId="5" borderId="5" xfId="0" applyFont="1" applyFill="1" applyBorder="1" applyAlignment="1">
      <alignment horizontal="left" vertical="top"/>
    </xf>
    <xf numFmtId="0" fontId="7" fillId="0" borderId="12" xfId="0" applyFont="1" applyBorder="1"/>
    <xf numFmtId="0" fontId="8" fillId="0" borderId="10" xfId="0" applyFont="1" applyBorder="1"/>
    <xf numFmtId="0" fontId="7" fillId="0" borderId="29" xfId="0" applyFont="1" applyBorder="1"/>
    <xf numFmtId="0" fontId="7" fillId="5" borderId="42" xfId="0" applyFont="1" applyFill="1" applyBorder="1" applyAlignment="1">
      <alignment horizontal="center" vertical="center" wrapText="1"/>
    </xf>
    <xf numFmtId="0" fontId="7" fillId="5" borderId="22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left" vertical="top"/>
    </xf>
    <xf numFmtId="0" fontId="7" fillId="5" borderId="7" xfId="0" applyFont="1" applyFill="1" applyBorder="1" applyAlignment="1">
      <alignment horizontal="center" vertical="center" wrapText="1"/>
    </xf>
    <xf numFmtId="0" fontId="15" fillId="0" borderId="29" xfId="0" applyFont="1" applyBorder="1" applyAlignment="1">
      <alignment horizontal="left" vertical="top"/>
    </xf>
    <xf numFmtId="0" fontId="7" fillId="0" borderId="33" xfId="0" applyFont="1" applyBorder="1" applyAlignment="1">
      <alignment horizontal="left" vertical="top"/>
    </xf>
    <xf numFmtId="0" fontId="28" fillId="10" borderId="47" xfId="0" applyFont="1" applyFill="1" applyBorder="1" applyAlignment="1">
      <alignment horizontal="left" vertical="top"/>
    </xf>
    <xf numFmtId="0" fontId="1" fillId="0" borderId="5" xfId="0" applyFont="1" applyBorder="1" applyAlignment="1">
      <alignment vertical="center" wrapText="1"/>
    </xf>
    <xf numFmtId="0" fontId="4" fillId="0" borderId="17" xfId="0" applyFont="1" applyBorder="1" applyAlignment="1">
      <alignment horizontal="left" vertical="top"/>
    </xf>
    <xf numFmtId="0" fontId="15" fillId="0" borderId="17" xfId="0" applyFont="1" applyBorder="1" applyAlignment="1">
      <alignment horizontal="left" vertical="top"/>
    </xf>
    <xf numFmtId="0" fontId="7" fillId="0" borderId="36" xfId="0" applyFont="1" applyBorder="1" applyAlignment="1">
      <alignment vertical="top"/>
    </xf>
    <xf numFmtId="0" fontId="7" fillId="0" borderId="29" xfId="0" applyFont="1" applyBorder="1" applyAlignment="1">
      <alignment vertical="top"/>
    </xf>
    <xf numFmtId="0" fontId="1" fillId="0" borderId="5" xfId="0" applyFont="1" applyBorder="1" applyAlignment="1">
      <alignment horizontal="left" vertical="top"/>
    </xf>
    <xf numFmtId="0" fontId="14" fillId="0" borderId="34" xfId="0" applyFont="1" applyBorder="1"/>
    <xf numFmtId="0" fontId="14" fillId="0" borderId="11" xfId="0" applyFont="1" applyBorder="1"/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3" borderId="4" xfId="0" applyFont="1" applyFill="1" applyBorder="1" applyAlignment="1">
      <alignment horizontal="right" vertical="center"/>
    </xf>
    <xf numFmtId="0" fontId="3" fillId="3" borderId="4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right" vertical="center"/>
    </xf>
    <xf numFmtId="0" fontId="5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vertical="center"/>
    </xf>
    <xf numFmtId="0" fontId="7" fillId="0" borderId="5" xfId="0" applyFont="1" applyBorder="1" applyAlignment="1">
      <alignment horizontal="right" vertical="center"/>
    </xf>
    <xf numFmtId="0" fontId="7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right" vertical="center"/>
    </xf>
    <xf numFmtId="0" fontId="1" fillId="4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vertical="center"/>
    </xf>
    <xf numFmtId="20" fontId="1" fillId="0" borderId="11" xfId="0" applyNumberFormat="1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1" fillId="3" borderId="16" xfId="0" applyFont="1" applyFill="1" applyBorder="1" applyAlignment="1">
      <alignment horizontal="right" vertical="center"/>
    </xf>
    <xf numFmtId="0" fontId="1" fillId="3" borderId="1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vertical="center"/>
    </xf>
    <xf numFmtId="20" fontId="4" fillId="0" borderId="5" xfId="0" applyNumberFormat="1" applyFont="1" applyBorder="1" applyAlignment="1">
      <alignment horizontal="center" vertical="center" wrapText="1"/>
    </xf>
    <xf numFmtId="20" fontId="4" fillId="0" borderId="17" xfId="0" applyNumberFormat="1" applyFont="1" applyBorder="1" applyAlignment="1">
      <alignment horizontal="center" vertical="center" wrapText="1"/>
    </xf>
    <xf numFmtId="20" fontId="4" fillId="0" borderId="14" xfId="0" applyNumberFormat="1" applyFont="1" applyBorder="1" applyAlignment="1">
      <alignment horizontal="center" vertical="center" wrapText="1"/>
    </xf>
    <xf numFmtId="20" fontId="4" fillId="0" borderId="11" xfId="0" applyNumberFormat="1" applyFont="1" applyBorder="1" applyAlignment="1">
      <alignment horizontal="center" vertical="center" wrapText="1"/>
    </xf>
    <xf numFmtId="20" fontId="4" fillId="5" borderId="7" xfId="0" applyNumberFormat="1" applyFont="1" applyFill="1" applyBorder="1" applyAlignment="1">
      <alignment horizontal="center" vertical="center" wrapText="1"/>
    </xf>
    <xf numFmtId="0" fontId="1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" fillId="5" borderId="16" xfId="0" applyFont="1" applyFill="1" applyBorder="1" applyAlignment="1">
      <alignment horizontal="right" vertical="center"/>
    </xf>
    <xf numFmtId="0" fontId="3" fillId="5" borderId="4" xfId="0" applyFont="1" applyFill="1" applyBorder="1" applyAlignment="1">
      <alignment horizontal="left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7" fillId="3" borderId="5" xfId="0" applyFont="1" applyFill="1" applyBorder="1" applyAlignment="1">
      <alignment horizontal="right" vertical="center"/>
    </xf>
    <xf numFmtId="0" fontId="7" fillId="3" borderId="5" xfId="0" applyFont="1" applyFill="1" applyBorder="1" applyAlignment="1">
      <alignment horizontal="left" vertical="center"/>
    </xf>
    <xf numFmtId="0" fontId="14" fillId="3" borderId="5" xfId="0" applyFont="1" applyFill="1" applyBorder="1" applyAlignment="1">
      <alignment vertical="center"/>
    </xf>
    <xf numFmtId="0" fontId="7" fillId="3" borderId="5" xfId="0" applyFont="1" applyFill="1" applyBorder="1" applyAlignment="1">
      <alignment vertical="center"/>
    </xf>
    <xf numFmtId="0" fontId="7" fillId="4" borderId="6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1" xfId="0" applyFont="1" applyBorder="1" applyAlignment="1">
      <alignment vertical="center"/>
    </xf>
    <xf numFmtId="20" fontId="7" fillId="5" borderId="7" xfId="0" applyNumberFormat="1" applyFont="1" applyFill="1" applyBorder="1" applyAlignment="1">
      <alignment horizontal="center" vertical="center" wrapText="1"/>
    </xf>
    <xf numFmtId="0" fontId="15" fillId="5" borderId="7" xfId="0" applyFont="1" applyFill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" fillId="3" borderId="5" xfId="0" applyFont="1" applyFill="1" applyBorder="1" applyAlignment="1">
      <alignment horizontal="right" vertical="center"/>
    </xf>
    <xf numFmtId="0" fontId="7" fillId="3" borderId="11" xfId="0" applyFont="1" applyFill="1" applyBorder="1" applyAlignment="1">
      <alignment vertical="center"/>
    </xf>
    <xf numFmtId="20" fontId="7" fillId="0" borderId="11" xfId="0" applyNumberFormat="1" applyFont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vertical="center"/>
    </xf>
    <xf numFmtId="0" fontId="17" fillId="0" borderId="0" xfId="0" applyFont="1" applyAlignment="1">
      <alignment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vertical="center"/>
    </xf>
    <xf numFmtId="20" fontId="5" fillId="0" borderId="11" xfId="0" applyNumberFormat="1" applyFont="1" applyBorder="1" applyAlignment="1">
      <alignment horizontal="center" vertical="center" wrapText="1"/>
    </xf>
    <xf numFmtId="0" fontId="3" fillId="3" borderId="4" xfId="0" applyFont="1" applyFill="1" applyBorder="1" applyAlignment="1">
      <alignment vertical="center"/>
    </xf>
    <xf numFmtId="0" fontId="8" fillId="3" borderId="4" xfId="0" applyFont="1" applyFill="1" applyBorder="1" applyAlignment="1">
      <alignment vertical="center"/>
    </xf>
    <xf numFmtId="0" fontId="1" fillId="3" borderId="14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right" vertical="center"/>
    </xf>
    <xf numFmtId="0" fontId="1" fillId="3" borderId="20" xfId="0" applyFont="1" applyFill="1" applyBorder="1" applyAlignment="1">
      <alignment horizontal="right" vertical="center"/>
    </xf>
    <xf numFmtId="0" fontId="14" fillId="3" borderId="21" xfId="0" applyFont="1" applyFill="1" applyBorder="1" applyAlignment="1">
      <alignment vertical="center"/>
    </xf>
    <xf numFmtId="0" fontId="7" fillId="3" borderId="20" xfId="0" applyFont="1" applyFill="1" applyBorder="1" applyAlignment="1">
      <alignment vertical="center"/>
    </xf>
    <xf numFmtId="0" fontId="7" fillId="0" borderId="0" xfId="0" applyFont="1" applyAlignment="1">
      <alignment horizontal="right" vertical="center"/>
    </xf>
    <xf numFmtId="20" fontId="7" fillId="0" borderId="0" xfId="0" applyNumberFormat="1" applyFont="1" applyAlignment="1">
      <alignment horizontal="center" vertical="center" wrapText="1"/>
    </xf>
    <xf numFmtId="0" fontId="8" fillId="3" borderId="5" xfId="0" applyFont="1" applyFill="1" applyBorder="1" applyAlignment="1">
      <alignment vertical="center"/>
    </xf>
    <xf numFmtId="0" fontId="1" fillId="5" borderId="7" xfId="0" applyFont="1" applyFill="1" applyBorder="1" applyAlignment="1">
      <alignment vertical="center"/>
    </xf>
    <xf numFmtId="20" fontId="1" fillId="5" borderId="7" xfId="0" applyNumberFormat="1" applyFont="1" applyFill="1" applyBorder="1" applyAlignment="1">
      <alignment horizontal="center" vertical="center" wrapText="1"/>
    </xf>
    <xf numFmtId="20" fontId="8" fillId="0" borderId="0" xfId="0" applyNumberFormat="1" applyFont="1" applyAlignment="1">
      <alignment vertical="center"/>
    </xf>
    <xf numFmtId="20" fontId="1" fillId="3" borderId="5" xfId="0" applyNumberFormat="1" applyFont="1" applyFill="1" applyBorder="1" applyAlignment="1">
      <alignment horizontal="right" vertical="center"/>
    </xf>
    <xf numFmtId="20" fontId="14" fillId="3" borderId="5" xfId="0" applyNumberFormat="1" applyFont="1" applyFill="1" applyBorder="1" applyAlignment="1">
      <alignment vertical="center"/>
    </xf>
    <xf numFmtId="0" fontId="19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7" fillId="4" borderId="22" xfId="0" applyFont="1" applyFill="1" applyBorder="1" applyAlignment="1">
      <alignment horizontal="center" vertical="center" wrapText="1"/>
    </xf>
    <xf numFmtId="20" fontId="7" fillId="0" borderId="15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1" fillId="3" borderId="6" xfId="0" applyFont="1" applyFill="1" applyBorder="1" applyAlignment="1">
      <alignment horizontal="right" vertical="center"/>
    </xf>
    <xf numFmtId="0" fontId="7" fillId="3" borderId="7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right" vertical="center"/>
    </xf>
    <xf numFmtId="0" fontId="7" fillId="3" borderId="7" xfId="0" applyFont="1" applyFill="1" applyBorder="1" applyAlignment="1">
      <alignment vertical="center"/>
    </xf>
    <xf numFmtId="0" fontId="7" fillId="3" borderId="7" xfId="0" applyFont="1" applyFill="1" applyBorder="1" applyAlignment="1">
      <alignment horizontal="right" vertical="center"/>
    </xf>
    <xf numFmtId="0" fontId="20" fillId="7" borderId="7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vertical="center"/>
    </xf>
    <xf numFmtId="20" fontId="1" fillId="7" borderId="7" xfId="0" applyNumberFormat="1" applyFont="1" applyFill="1" applyBorder="1" applyAlignment="1">
      <alignment horizontal="center" vertical="center" wrapText="1"/>
    </xf>
    <xf numFmtId="0" fontId="20" fillId="7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vertical="center"/>
    </xf>
    <xf numFmtId="20" fontId="1" fillId="7" borderId="4" xfId="0" applyNumberFormat="1" applyFont="1" applyFill="1" applyBorder="1" applyAlignment="1">
      <alignment horizontal="center" vertical="center" wrapText="1"/>
    </xf>
    <xf numFmtId="0" fontId="19" fillId="7" borderId="4" xfId="0" applyFont="1" applyFill="1" applyBorder="1" applyAlignment="1">
      <alignment horizontal="left" vertical="center"/>
    </xf>
    <xf numFmtId="20" fontId="7" fillId="8" borderId="5" xfId="0" applyNumberFormat="1" applyFont="1" applyFill="1" applyBorder="1" applyAlignment="1">
      <alignment horizontal="center" vertical="center" wrapText="1"/>
    </xf>
    <xf numFmtId="20" fontId="1" fillId="8" borderId="5" xfId="0" applyNumberFormat="1" applyFont="1" applyFill="1" applyBorder="1" applyAlignment="1">
      <alignment horizontal="right" vertical="center" wrapText="1"/>
    </xf>
    <xf numFmtId="0" fontId="8" fillId="8" borderId="5" xfId="0" applyFont="1" applyFill="1" applyBorder="1" applyAlignment="1">
      <alignment horizontal="left" vertical="center"/>
    </xf>
    <xf numFmtId="0" fontId="7" fillId="4" borderId="24" xfId="0" applyFont="1" applyFill="1" applyBorder="1" applyAlignment="1">
      <alignment horizontal="center" vertical="center" wrapText="1"/>
    </xf>
    <xf numFmtId="20" fontId="1" fillId="7" borderId="22" xfId="0" applyNumberFormat="1" applyFont="1" applyFill="1" applyBorder="1" applyAlignment="1">
      <alignment horizontal="center" vertical="center" wrapText="1"/>
    </xf>
    <xf numFmtId="0" fontId="20" fillId="7" borderId="22" xfId="0" applyFont="1" applyFill="1" applyBorder="1" applyAlignment="1">
      <alignment horizontal="center" vertical="center" wrapText="1"/>
    </xf>
    <xf numFmtId="20" fontId="1" fillId="7" borderId="5" xfId="0" applyNumberFormat="1" applyFont="1" applyFill="1" applyBorder="1" applyAlignment="1">
      <alignment horizontal="center" vertical="center" wrapText="1"/>
    </xf>
    <xf numFmtId="0" fontId="20" fillId="7" borderId="5" xfId="0" applyFont="1" applyFill="1" applyBorder="1" applyAlignment="1">
      <alignment horizontal="center" vertical="center" wrapText="1"/>
    </xf>
    <xf numFmtId="0" fontId="1" fillId="7" borderId="26" xfId="0" applyFont="1" applyFill="1" applyBorder="1" applyAlignment="1">
      <alignment vertical="center"/>
    </xf>
    <xf numFmtId="0" fontId="7" fillId="5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vertical="center"/>
    </xf>
    <xf numFmtId="0" fontId="1" fillId="4" borderId="28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 wrapText="1"/>
    </xf>
    <xf numFmtId="0" fontId="20" fillId="7" borderId="9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right" vertical="center"/>
    </xf>
    <xf numFmtId="0" fontId="7" fillId="3" borderId="22" xfId="0" applyFont="1" applyFill="1" applyBorder="1" applyAlignment="1">
      <alignment vertical="center"/>
    </xf>
    <xf numFmtId="20" fontId="1" fillId="0" borderId="15" xfId="0" applyNumberFormat="1" applyFont="1" applyBorder="1" applyAlignment="1">
      <alignment horizontal="center" vertical="center" wrapText="1"/>
    </xf>
    <xf numFmtId="0" fontId="14" fillId="3" borderId="7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20" fontId="4" fillId="7" borderId="7" xfId="0" applyNumberFormat="1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4" fillId="5" borderId="0" xfId="0" applyFont="1" applyFill="1" applyAlignment="1">
      <alignment vertical="center"/>
    </xf>
    <xf numFmtId="0" fontId="1" fillId="9" borderId="14" xfId="0" applyFont="1" applyFill="1" applyBorder="1" applyAlignment="1">
      <alignment horizontal="center" vertical="center" wrapText="1"/>
    </xf>
    <xf numFmtId="0" fontId="1" fillId="9" borderId="11" xfId="0" applyFont="1" applyFill="1" applyBorder="1" applyAlignment="1">
      <alignment horizontal="center" vertical="center" wrapText="1"/>
    </xf>
    <xf numFmtId="0" fontId="7" fillId="9" borderId="11" xfId="0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6" fillId="5" borderId="0" xfId="0" applyFont="1" applyFill="1" applyAlignment="1">
      <alignment vertical="center"/>
    </xf>
    <xf numFmtId="20" fontId="1" fillId="5" borderId="4" xfId="0" applyNumberFormat="1" applyFont="1" applyFill="1" applyBorder="1" applyAlignment="1">
      <alignment horizontal="center" vertical="center" wrapText="1"/>
    </xf>
    <xf numFmtId="20" fontId="7" fillId="5" borderId="4" xfId="0" applyNumberFormat="1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right" vertical="center" wrapText="1"/>
    </xf>
    <xf numFmtId="0" fontId="5" fillId="3" borderId="5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20" fontId="5" fillId="0" borderId="5" xfId="0" applyNumberFormat="1" applyFont="1" applyBorder="1" applyAlignment="1">
      <alignment horizontal="center" vertical="center" wrapText="1"/>
    </xf>
    <xf numFmtId="0" fontId="25" fillId="7" borderId="5" xfId="0" applyFont="1" applyFill="1" applyBorder="1" applyAlignment="1">
      <alignment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vertical="center" wrapText="1"/>
    </xf>
    <xf numFmtId="20" fontId="4" fillId="5" borderId="5" xfId="0" applyNumberFormat="1" applyFont="1" applyFill="1" applyBorder="1" applyAlignment="1">
      <alignment horizontal="center" vertical="center" wrapText="1"/>
    </xf>
    <xf numFmtId="0" fontId="19" fillId="0" borderId="31" xfId="0" applyFont="1" applyBorder="1" applyAlignment="1">
      <alignment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vertical="center" wrapText="1"/>
    </xf>
    <xf numFmtId="20" fontId="1" fillId="5" borderId="5" xfId="0" applyNumberFormat="1" applyFont="1" applyFill="1" applyBorder="1" applyAlignment="1">
      <alignment horizontal="center" vertical="center" wrapText="1"/>
    </xf>
    <xf numFmtId="0" fontId="25" fillId="5" borderId="5" xfId="0" applyFont="1" applyFill="1" applyBorder="1" applyAlignment="1">
      <alignment vertical="center" wrapText="1"/>
    </xf>
    <xf numFmtId="0" fontId="7" fillId="5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vertical="center" wrapText="1"/>
    </xf>
    <xf numFmtId="20" fontId="5" fillId="5" borderId="5" xfId="0" applyNumberFormat="1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vertical="center"/>
    </xf>
    <xf numFmtId="0" fontId="1" fillId="5" borderId="4" xfId="0" applyFont="1" applyFill="1" applyBorder="1" applyAlignment="1">
      <alignment vertical="center"/>
    </xf>
    <xf numFmtId="20" fontId="4" fillId="5" borderId="4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7" borderId="5" xfId="0" applyFont="1" applyFill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20" fontId="7" fillId="7" borderId="5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7" fillId="3" borderId="6" xfId="0" applyFont="1" applyFill="1" applyBorder="1" applyAlignment="1">
      <alignment vertical="center"/>
    </xf>
    <xf numFmtId="20" fontId="5" fillId="5" borderId="7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9" fillId="3" borderId="5" xfId="0" applyFont="1" applyFill="1" applyBorder="1" applyAlignment="1">
      <alignment vertical="center"/>
    </xf>
    <xf numFmtId="0" fontId="5" fillId="5" borderId="7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/>
    </xf>
    <xf numFmtId="20" fontId="1" fillId="5" borderId="5" xfId="0" applyNumberFormat="1" applyFont="1" applyFill="1" applyBorder="1" applyAlignment="1">
      <alignment horizontal="center" vertical="center"/>
    </xf>
    <xf numFmtId="20" fontId="1" fillId="5" borderId="4" xfId="0" applyNumberFormat="1" applyFont="1" applyFill="1" applyBorder="1" applyAlignment="1">
      <alignment horizontal="center" vertical="center"/>
    </xf>
    <xf numFmtId="20" fontId="4" fillId="0" borderId="0" xfId="0" applyNumberFormat="1" applyFont="1" applyAlignment="1">
      <alignment horizontal="center" vertical="center" wrapText="1"/>
    </xf>
    <xf numFmtId="20" fontId="1" fillId="0" borderId="0" xfId="0" applyNumberFormat="1" applyFont="1" applyAlignment="1">
      <alignment horizontal="center" vertical="center" wrapText="1"/>
    </xf>
    <xf numFmtId="0" fontId="36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10" fillId="0" borderId="12" xfId="0" applyFont="1" applyBorder="1" applyAlignment="1">
      <alignment vertical="center"/>
    </xf>
    <xf numFmtId="0" fontId="7" fillId="0" borderId="13" xfId="0" applyFont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/>
    </xf>
    <xf numFmtId="0" fontId="14" fillId="4" borderId="7" xfId="0" applyFont="1" applyFill="1" applyBorder="1" applyAlignment="1">
      <alignment vertical="center"/>
    </xf>
    <xf numFmtId="0" fontId="14" fillId="0" borderId="11" xfId="0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44" fillId="0" borderId="11" xfId="0" applyFont="1" applyBorder="1" applyAlignment="1">
      <alignment vertical="center"/>
    </xf>
    <xf numFmtId="0" fontId="44" fillId="0" borderId="14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7" fillId="5" borderId="16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vertical="center"/>
    </xf>
    <xf numFmtId="0" fontId="45" fillId="7" borderId="5" xfId="0" applyFont="1" applyFill="1" applyBorder="1" applyAlignment="1">
      <alignment vertical="center"/>
    </xf>
    <xf numFmtId="0" fontId="14" fillId="3" borderId="4" xfId="0" applyFont="1" applyFill="1" applyBorder="1" applyAlignment="1">
      <alignment vertical="center"/>
    </xf>
    <xf numFmtId="0" fontId="7" fillId="0" borderId="14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7" fillId="5" borderId="7" xfId="0" applyFont="1" applyFill="1" applyBorder="1" applyAlignment="1">
      <alignment vertical="center"/>
    </xf>
    <xf numFmtId="0" fontId="47" fillId="5" borderId="4" xfId="0" applyFont="1" applyFill="1" applyBorder="1" applyAlignment="1">
      <alignment vertical="center"/>
    </xf>
    <xf numFmtId="0" fontId="47" fillId="0" borderId="11" xfId="0" applyFont="1" applyBorder="1" applyAlignment="1">
      <alignment vertical="center"/>
    </xf>
    <xf numFmtId="0" fontId="47" fillId="0" borderId="0" xfId="0" applyFont="1" applyAlignment="1">
      <alignment vertical="center"/>
    </xf>
    <xf numFmtId="0" fontId="48" fillId="0" borderId="5" xfId="0" applyFont="1" applyBorder="1" applyAlignment="1">
      <alignment vertical="center"/>
    </xf>
    <xf numFmtId="0" fontId="10" fillId="0" borderId="5" xfId="0" applyFont="1" applyBorder="1" applyAlignment="1">
      <alignment vertical="center" wrapText="1"/>
    </xf>
    <xf numFmtId="0" fontId="7" fillId="0" borderId="15" xfId="0" applyFont="1" applyBorder="1" applyAlignment="1">
      <alignment vertical="center"/>
    </xf>
    <xf numFmtId="0" fontId="7" fillId="4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vertical="center" wrapText="1"/>
    </xf>
    <xf numFmtId="0" fontId="6" fillId="7" borderId="5" xfId="0" applyFont="1" applyFill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49" fillId="7" borderId="5" xfId="0" applyFont="1" applyFill="1" applyBorder="1" applyAlignment="1">
      <alignment vertical="center" wrapText="1"/>
    </xf>
    <xf numFmtId="0" fontId="14" fillId="7" borderId="5" xfId="0" applyFont="1" applyFill="1" applyBorder="1" applyAlignment="1">
      <alignment vertical="center"/>
    </xf>
    <xf numFmtId="0" fontId="10" fillId="5" borderId="4" xfId="0" applyFont="1" applyFill="1" applyBorder="1" applyAlignment="1">
      <alignment vertical="center"/>
    </xf>
    <xf numFmtId="0" fontId="50" fillId="5" borderId="5" xfId="0" applyFont="1" applyFill="1" applyBorder="1" applyAlignment="1">
      <alignment vertical="center"/>
    </xf>
    <xf numFmtId="0" fontId="7" fillId="5" borderId="4" xfId="0" applyFont="1" applyFill="1" applyBorder="1" applyAlignment="1">
      <alignment horizontal="center" vertical="center"/>
    </xf>
    <xf numFmtId="0" fontId="52" fillId="5" borderId="5" xfId="0" applyFont="1" applyFill="1" applyBorder="1" applyAlignment="1">
      <alignment vertical="center"/>
    </xf>
    <xf numFmtId="0" fontId="53" fillId="0" borderId="0" xfId="0" applyFont="1" applyAlignment="1">
      <alignment vertical="center"/>
    </xf>
    <xf numFmtId="0" fontId="54" fillId="0" borderId="0" xfId="0" applyFont="1" applyAlignment="1">
      <alignment vertical="center"/>
    </xf>
    <xf numFmtId="0" fontId="55" fillId="0" borderId="0" xfId="0" applyFont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7" fillId="3" borderId="4" xfId="0" applyFont="1" applyFill="1" applyBorder="1" applyAlignment="1">
      <alignment vertical="center"/>
    </xf>
    <xf numFmtId="0" fontId="14" fillId="0" borderId="15" xfId="0" applyFont="1" applyBorder="1" applyAlignment="1">
      <alignment vertical="center"/>
    </xf>
    <xf numFmtId="0" fontId="10" fillId="14" borderId="7" xfId="0" applyFont="1" applyFill="1" applyBorder="1" applyAlignment="1">
      <alignment vertical="center"/>
    </xf>
    <xf numFmtId="0" fontId="44" fillId="5" borderId="7" xfId="0" applyFont="1" applyFill="1" applyBorder="1" applyAlignment="1">
      <alignment vertical="center"/>
    </xf>
    <xf numFmtId="0" fontId="57" fillId="0" borderId="5" xfId="0" applyFont="1" applyBorder="1" applyAlignment="1">
      <alignment vertical="center"/>
    </xf>
    <xf numFmtId="0" fontId="14" fillId="15" borderId="5" xfId="0" applyFont="1" applyFill="1" applyBorder="1" applyAlignment="1">
      <alignment vertical="center"/>
    </xf>
    <xf numFmtId="0" fontId="14" fillId="14" borderId="7" xfId="0" applyFont="1" applyFill="1" applyBorder="1" applyAlignment="1">
      <alignment vertical="center"/>
    </xf>
    <xf numFmtId="0" fontId="14" fillId="5" borderId="7" xfId="0" applyFont="1" applyFill="1" applyBorder="1" applyAlignment="1">
      <alignment vertical="center"/>
    </xf>
    <xf numFmtId="0" fontId="14" fillId="5" borderId="4" xfId="0" applyFont="1" applyFill="1" applyBorder="1" applyAlignment="1">
      <alignment vertical="center"/>
    </xf>
    <xf numFmtId="0" fontId="14" fillId="14" borderId="5" xfId="0" applyFont="1" applyFill="1" applyBorder="1" applyAlignment="1">
      <alignment vertical="center"/>
    </xf>
    <xf numFmtId="0" fontId="14" fillId="5" borderId="5" xfId="0" applyFont="1" applyFill="1" applyBorder="1" applyAlignment="1">
      <alignment horizontal="left" vertical="center"/>
    </xf>
    <xf numFmtId="0" fontId="14" fillId="18" borderId="7" xfId="0" applyFont="1" applyFill="1" applyBorder="1" applyAlignment="1">
      <alignment vertical="center"/>
    </xf>
    <xf numFmtId="0" fontId="10" fillId="5" borderId="8" xfId="0" applyFont="1" applyFill="1" applyBorder="1" applyAlignment="1">
      <alignment vertical="center"/>
    </xf>
    <xf numFmtId="0" fontId="10" fillId="5" borderId="18" xfId="0" applyFont="1" applyFill="1" applyBorder="1" applyAlignment="1">
      <alignment vertical="center"/>
    </xf>
    <xf numFmtId="0" fontId="10" fillId="5" borderId="5" xfId="0" applyFont="1" applyFill="1" applyBorder="1" applyAlignment="1">
      <alignment vertical="center"/>
    </xf>
    <xf numFmtId="0" fontId="10" fillId="18" borderId="7" xfId="0" applyFont="1" applyFill="1" applyBorder="1" applyAlignment="1">
      <alignment vertical="center"/>
    </xf>
    <xf numFmtId="0" fontId="10" fillId="5" borderId="11" xfId="0" applyFont="1" applyFill="1" applyBorder="1" applyAlignment="1">
      <alignment vertical="center"/>
    </xf>
    <xf numFmtId="0" fontId="14" fillId="19" borderId="5" xfId="0" applyFont="1" applyFill="1" applyBorder="1" applyAlignment="1">
      <alignment vertical="center"/>
    </xf>
    <xf numFmtId="0" fontId="14" fillId="16" borderId="5" xfId="0" applyFont="1" applyFill="1" applyBorder="1" applyAlignment="1">
      <alignment horizontal="left" vertical="center"/>
    </xf>
    <xf numFmtId="0" fontId="14" fillId="7" borderId="4" xfId="0" applyFont="1" applyFill="1" applyBorder="1" applyAlignment="1">
      <alignment horizontal="left" vertical="center"/>
    </xf>
    <xf numFmtId="0" fontId="14" fillId="20" borderId="27" xfId="0" applyFont="1" applyFill="1" applyBorder="1" applyAlignment="1">
      <alignment horizontal="left" vertical="center"/>
    </xf>
    <xf numFmtId="0" fontId="59" fillId="0" borderId="0" xfId="0" applyFont="1" applyAlignment="1">
      <alignment vertical="center"/>
    </xf>
    <xf numFmtId="0" fontId="10" fillId="0" borderId="15" xfId="0" applyFont="1" applyBorder="1" applyAlignment="1">
      <alignment vertical="center"/>
    </xf>
    <xf numFmtId="0" fontId="14" fillId="14" borderId="24" xfId="0" applyFont="1" applyFill="1" applyBorder="1" applyAlignment="1">
      <alignment vertical="center"/>
    </xf>
    <xf numFmtId="0" fontId="10" fillId="15" borderId="5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vertical="center" wrapText="1"/>
    </xf>
    <xf numFmtId="0" fontId="14" fillId="14" borderId="5" xfId="0" applyFont="1" applyFill="1" applyBorder="1" applyAlignment="1">
      <alignment vertical="center" wrapText="1"/>
    </xf>
    <xf numFmtId="0" fontId="14" fillId="0" borderId="31" xfId="0" applyFont="1" applyBorder="1" applyAlignment="1">
      <alignment vertical="center" wrapText="1"/>
    </xf>
    <xf numFmtId="0" fontId="7" fillId="5" borderId="4" xfId="0" applyFont="1" applyFill="1" applyBorder="1" applyAlignment="1">
      <alignment vertical="center" wrapText="1"/>
    </xf>
    <xf numFmtId="0" fontId="14" fillId="6" borderId="5" xfId="0" applyFont="1" applyFill="1" applyBorder="1" applyAlignment="1">
      <alignment vertical="center"/>
    </xf>
    <xf numFmtId="0" fontId="10" fillId="15" borderId="11" xfId="0" applyFont="1" applyFill="1" applyBorder="1" applyAlignment="1">
      <alignment vertical="center"/>
    </xf>
    <xf numFmtId="0" fontId="14" fillId="5" borderId="4" xfId="0" applyFont="1" applyFill="1" applyBorder="1" applyAlignment="1">
      <alignment horizontal="left" vertical="center"/>
    </xf>
    <xf numFmtId="0" fontId="10" fillId="14" borderId="5" xfId="0" applyFont="1" applyFill="1" applyBorder="1" applyAlignment="1">
      <alignment vertical="center" wrapText="1"/>
    </xf>
    <xf numFmtId="0" fontId="10" fillId="5" borderId="4" xfId="0" applyFont="1" applyFill="1" applyBorder="1" applyAlignment="1">
      <alignment vertical="center" wrapText="1"/>
    </xf>
    <xf numFmtId="0" fontId="14" fillId="20" borderId="5" xfId="0" applyFont="1" applyFill="1" applyBorder="1" applyAlignment="1">
      <alignment horizontal="left" vertical="center"/>
    </xf>
    <xf numFmtId="0" fontId="14" fillId="18" borderId="24" xfId="0" applyFont="1" applyFill="1" applyBorder="1" applyAlignment="1">
      <alignment vertical="center"/>
    </xf>
    <xf numFmtId="0" fontId="44" fillId="0" borderId="7" xfId="0" applyFont="1" applyBorder="1" applyAlignment="1">
      <alignment vertical="center"/>
    </xf>
    <xf numFmtId="0" fontId="14" fillId="19" borderId="0" xfId="0" applyFont="1" applyFill="1" applyAlignment="1">
      <alignment vertical="center"/>
    </xf>
    <xf numFmtId="0" fontId="14" fillId="20" borderId="5" xfId="0" applyFont="1" applyFill="1" applyBorder="1" applyAlignment="1">
      <alignment vertical="center"/>
    </xf>
    <xf numFmtId="0" fontId="60" fillId="0" borderId="5" xfId="0" applyFont="1" applyBorder="1" applyAlignment="1">
      <alignment vertical="center" wrapText="1"/>
    </xf>
    <xf numFmtId="0" fontId="14" fillId="19" borderId="24" xfId="0" applyFont="1" applyFill="1" applyBorder="1" applyAlignment="1">
      <alignment vertical="center"/>
    </xf>
    <xf numFmtId="0" fontId="10" fillId="0" borderId="7" xfId="0" applyFont="1" applyBorder="1" applyAlignment="1">
      <alignment vertical="center"/>
    </xf>
    <xf numFmtId="20" fontId="7" fillId="18" borderId="7" xfId="0" applyNumberFormat="1" applyFont="1" applyFill="1" applyBorder="1" applyAlignment="1">
      <alignment horizontal="center" vertical="center" wrapText="1"/>
    </xf>
    <xf numFmtId="0" fontId="10" fillId="18" borderId="5" xfId="0" applyFont="1" applyFill="1" applyBorder="1" applyAlignment="1">
      <alignment vertical="center"/>
    </xf>
    <xf numFmtId="0" fontId="7" fillId="0" borderId="12" xfId="0" applyFont="1" applyFill="1" applyBorder="1" applyAlignment="1">
      <alignment horizontal="left" vertical="center" wrapText="1"/>
    </xf>
    <xf numFmtId="0" fontId="12" fillId="0" borderId="0" xfId="0" applyFont="1" applyAlignment="1">
      <alignment vertical="center"/>
    </xf>
    <xf numFmtId="0" fontId="44" fillId="0" borderId="11" xfId="0" applyFont="1" applyFill="1" applyBorder="1" applyAlignment="1">
      <alignment vertical="center"/>
    </xf>
    <xf numFmtId="0" fontId="46" fillId="0" borderId="5" xfId="0" applyFont="1" applyFill="1" applyBorder="1" applyAlignment="1">
      <alignment vertical="center"/>
    </xf>
    <xf numFmtId="0" fontId="44" fillId="0" borderId="7" xfId="0" applyFont="1" applyFill="1" applyBorder="1" applyAlignment="1">
      <alignment vertical="center"/>
    </xf>
    <xf numFmtId="0" fontId="57" fillId="0" borderId="5" xfId="0" applyFont="1" applyFill="1" applyBorder="1" applyAlignment="1">
      <alignment vertical="center"/>
    </xf>
    <xf numFmtId="0" fontId="14" fillId="15" borderId="27" xfId="0" applyFont="1" applyFill="1" applyBorder="1" applyAlignment="1">
      <alignment vertical="center"/>
    </xf>
    <xf numFmtId="20" fontId="7" fillId="0" borderId="7" xfId="0" applyNumberFormat="1" applyFont="1" applyFill="1" applyBorder="1" applyAlignment="1">
      <alignment horizontal="center" vertical="center" wrapText="1"/>
    </xf>
    <xf numFmtId="0" fontId="14" fillId="0" borderId="24" xfId="0" applyFont="1" applyFill="1" applyBorder="1" applyAlignment="1">
      <alignment vertical="center"/>
    </xf>
    <xf numFmtId="0" fontId="52" fillId="0" borderId="5" xfId="0" applyFont="1" applyFill="1" applyBorder="1" applyAlignment="1">
      <alignment vertical="center"/>
    </xf>
    <xf numFmtId="0" fontId="58" fillId="0" borderId="54" xfId="0" applyFont="1" applyBorder="1" applyAlignment="1">
      <alignment vertical="center"/>
    </xf>
    <xf numFmtId="0" fontId="58" fillId="0" borderId="55" xfId="0" applyFont="1" applyBorder="1" applyAlignment="1">
      <alignment vertical="center"/>
    </xf>
    <xf numFmtId="0" fontId="61" fillId="5" borderId="20" xfId="0" applyFont="1" applyFill="1" applyBorder="1" applyAlignment="1">
      <alignment vertical="center"/>
    </xf>
    <xf numFmtId="0" fontId="61" fillId="0" borderId="20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0" fillId="0" borderId="0" xfId="0" applyAlignment="1">
      <alignment vertical="center"/>
    </xf>
    <xf numFmtId="0" fontId="63" fillId="0" borderId="0" xfId="0" applyFont="1" applyAlignment="1">
      <alignment vertical="center"/>
    </xf>
    <xf numFmtId="0" fontId="62" fillId="21" borderId="7" xfId="0" applyFont="1" applyFill="1" applyBorder="1" applyAlignment="1">
      <alignment vertical="center"/>
    </xf>
    <xf numFmtId="20" fontId="62" fillId="21" borderId="7" xfId="0" applyNumberFormat="1" applyFont="1" applyFill="1" applyBorder="1" applyAlignment="1">
      <alignment horizontal="center" vertical="center" wrapText="1"/>
    </xf>
    <xf numFmtId="20" fontId="5" fillId="0" borderId="24" xfId="0" applyNumberFormat="1" applyFont="1" applyBorder="1" applyAlignment="1">
      <alignment horizontal="center" vertical="center" wrapText="1"/>
    </xf>
    <xf numFmtId="0" fontId="7" fillId="4" borderId="52" xfId="0" applyFont="1" applyFill="1" applyBorder="1" applyAlignment="1">
      <alignment horizontal="center" vertical="center" wrapText="1"/>
    </xf>
    <xf numFmtId="0" fontId="15" fillId="0" borderId="53" xfId="0" applyFont="1" applyBorder="1"/>
    <xf numFmtId="0" fontId="64" fillId="5" borderId="7" xfId="0" applyFont="1" applyFill="1" applyBorder="1" applyAlignment="1">
      <alignment vertical="center"/>
    </xf>
    <xf numFmtId="0" fontId="62" fillId="0" borderId="24" xfId="0" applyFont="1" applyBorder="1" applyAlignment="1">
      <alignment vertical="center"/>
    </xf>
    <xf numFmtId="20" fontId="62" fillId="0" borderId="53" xfId="0" applyNumberFormat="1" applyFont="1" applyBorder="1" applyAlignment="1">
      <alignment horizontal="center" vertical="center" wrapText="1"/>
    </xf>
    <xf numFmtId="20" fontId="65" fillId="0" borderId="11" xfId="0" applyNumberFormat="1" applyFont="1" applyBorder="1" applyAlignment="1">
      <alignment horizontal="center" vertical="center" wrapText="1"/>
    </xf>
    <xf numFmtId="0" fontId="65" fillId="0" borderId="11" xfId="0" applyFont="1" applyBorder="1" applyAlignment="1">
      <alignment vertical="center"/>
    </xf>
    <xf numFmtId="20" fontId="62" fillId="7" borderId="7" xfId="0" applyNumberFormat="1" applyFont="1" applyFill="1" applyBorder="1" applyAlignment="1">
      <alignment horizontal="center" vertical="center" wrapText="1"/>
    </xf>
    <xf numFmtId="0" fontId="65" fillId="0" borderId="7" xfId="0" applyFont="1" applyBorder="1" applyAlignment="1">
      <alignment horizontal="center" vertical="center" wrapText="1"/>
    </xf>
    <xf numFmtId="0" fontId="65" fillId="0" borderId="7" xfId="0" applyFont="1" applyBorder="1" applyAlignment="1">
      <alignment vertical="center"/>
    </xf>
    <xf numFmtId="20" fontId="62" fillId="0" borderId="7" xfId="0" applyNumberFormat="1" applyFont="1" applyBorder="1" applyAlignment="1">
      <alignment horizontal="center" vertical="center" wrapText="1"/>
    </xf>
    <xf numFmtId="0" fontId="56" fillId="19" borderId="5" xfId="0" applyFont="1" applyFill="1" applyBorder="1" applyAlignment="1">
      <alignment vertical="center"/>
    </xf>
    <xf numFmtId="0" fontId="62" fillId="0" borderId="11" xfId="0" applyFont="1" applyBorder="1" applyAlignment="1">
      <alignment horizontal="center" vertical="center" wrapText="1"/>
    </xf>
    <xf numFmtId="0" fontId="62" fillId="0" borderId="11" xfId="0" applyFont="1" applyBorder="1" applyAlignment="1">
      <alignment vertical="center"/>
    </xf>
    <xf numFmtId="20" fontId="62" fillId="0" borderId="11" xfId="0" applyNumberFormat="1" applyFont="1" applyBorder="1" applyAlignment="1">
      <alignment horizontal="center" vertical="center" wrapText="1"/>
    </xf>
    <xf numFmtId="20" fontId="62" fillId="0" borderId="15" xfId="0" applyNumberFormat="1" applyFont="1" applyBorder="1" applyAlignment="1">
      <alignment horizontal="center" vertical="center" wrapText="1"/>
    </xf>
    <xf numFmtId="0" fontId="65" fillId="5" borderId="7" xfId="0" applyFont="1" applyFill="1" applyBorder="1" applyAlignment="1">
      <alignment vertical="center"/>
    </xf>
    <xf numFmtId="20" fontId="65" fillId="5" borderId="7" xfId="0" applyNumberFormat="1" applyFont="1" applyFill="1" applyBorder="1" applyAlignment="1">
      <alignment horizontal="center" vertical="center" wrapText="1"/>
    </xf>
    <xf numFmtId="0" fontId="65" fillId="5" borderId="5" xfId="0" applyFont="1" applyFill="1" applyBorder="1" applyAlignment="1">
      <alignment horizontal="center" vertical="center"/>
    </xf>
    <xf numFmtId="0" fontId="65" fillId="5" borderId="5" xfId="0" applyFont="1" applyFill="1" applyBorder="1" applyAlignment="1">
      <alignment vertical="center"/>
    </xf>
    <xf numFmtId="20" fontId="65" fillId="5" borderId="5" xfId="0" applyNumberFormat="1" applyFont="1" applyFill="1" applyBorder="1" applyAlignment="1">
      <alignment horizontal="center" vertical="center" wrapText="1"/>
    </xf>
    <xf numFmtId="20" fontId="65" fillId="18" borderId="5" xfId="0" applyNumberFormat="1" applyFont="1" applyFill="1" applyBorder="1" applyAlignment="1">
      <alignment horizontal="center" vertical="center" wrapText="1"/>
    </xf>
    <xf numFmtId="0" fontId="66" fillId="0" borderId="0" xfId="0" applyFont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43" xfId="0" applyFont="1" applyBorder="1" applyAlignment="1">
      <alignment vertical="center"/>
    </xf>
    <xf numFmtId="0" fontId="10" fillId="22" borderId="11" xfId="0" applyFont="1" applyFill="1" applyBorder="1" applyAlignment="1">
      <alignment vertical="center"/>
    </xf>
    <xf numFmtId="0" fontId="2" fillId="0" borderId="46" xfId="0" applyFont="1" applyBorder="1" applyAlignment="1">
      <alignment vertical="center"/>
    </xf>
    <xf numFmtId="0" fontId="4" fillId="0" borderId="46" xfId="0" applyFont="1" applyBorder="1" applyAlignment="1">
      <alignment horizontal="center" vertical="center" wrapText="1"/>
    </xf>
    <xf numFmtId="0" fontId="4" fillId="0" borderId="46" xfId="0" applyFont="1" applyBorder="1" applyAlignment="1">
      <alignment vertical="center" wrapText="1"/>
    </xf>
    <xf numFmtId="20" fontId="4" fillId="0" borderId="46" xfId="0" applyNumberFormat="1" applyFont="1" applyBorder="1" applyAlignment="1">
      <alignment horizontal="center" vertical="center" wrapText="1"/>
    </xf>
    <xf numFmtId="0" fontId="14" fillId="14" borderId="46" xfId="0" applyFont="1" applyFill="1" applyBorder="1" applyAlignment="1">
      <alignment vertical="center" wrapText="1"/>
    </xf>
    <xf numFmtId="0" fontId="6" fillId="7" borderId="46" xfId="0" applyFont="1" applyFill="1" applyBorder="1" applyAlignment="1">
      <alignment vertical="center" wrapText="1"/>
    </xf>
    <xf numFmtId="0" fontId="56" fillId="0" borderId="46" xfId="0" applyFont="1" applyBorder="1" applyAlignment="1">
      <alignment vertical="center"/>
    </xf>
    <xf numFmtId="0" fontId="49" fillId="7" borderId="46" xfId="0" applyFont="1" applyFill="1" applyBorder="1" applyAlignment="1">
      <alignment vertical="center" wrapText="1"/>
    </xf>
    <xf numFmtId="0" fontId="4" fillId="7" borderId="46" xfId="0" applyFont="1" applyFill="1" applyBorder="1" applyAlignment="1">
      <alignment vertical="center" wrapText="1"/>
    </xf>
    <xf numFmtId="20" fontId="4" fillId="5" borderId="46" xfId="0" applyNumberFormat="1" applyFont="1" applyFill="1" applyBorder="1" applyAlignment="1">
      <alignment horizontal="center" vertical="center" wrapText="1"/>
    </xf>
    <xf numFmtId="0" fontId="6" fillId="0" borderId="46" xfId="0" applyFont="1" applyBorder="1" applyAlignment="1">
      <alignment vertical="center" wrapText="1"/>
    </xf>
    <xf numFmtId="0" fontId="4" fillId="7" borderId="46" xfId="0" applyFont="1" applyFill="1" applyBorder="1" applyAlignment="1">
      <alignment horizontal="center" vertical="center" wrapText="1"/>
    </xf>
    <xf numFmtId="0" fontId="1" fillId="7" borderId="46" xfId="0" applyFont="1" applyFill="1" applyBorder="1" applyAlignment="1">
      <alignment vertical="center" wrapText="1"/>
    </xf>
    <xf numFmtId="0" fontId="5" fillId="0" borderId="46" xfId="0" applyFont="1" applyBorder="1" applyAlignment="1">
      <alignment horizontal="center" vertical="center" wrapText="1"/>
    </xf>
    <xf numFmtId="0" fontId="5" fillId="0" borderId="46" xfId="0" applyFont="1" applyBorder="1" applyAlignment="1">
      <alignment vertical="center" wrapText="1"/>
    </xf>
    <xf numFmtId="20" fontId="5" fillId="0" borderId="46" xfId="0" applyNumberFormat="1" applyFont="1" applyBorder="1" applyAlignment="1">
      <alignment horizontal="center" vertical="center" wrapText="1"/>
    </xf>
    <xf numFmtId="0" fontId="10" fillId="15" borderId="46" xfId="0" applyFont="1" applyFill="1" applyBorder="1" applyAlignment="1">
      <alignment vertical="center" wrapText="1"/>
    </xf>
    <xf numFmtId="0" fontId="25" fillId="7" borderId="46" xfId="0" applyFont="1" applyFill="1" applyBorder="1" applyAlignment="1">
      <alignment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5" borderId="46" xfId="0" applyFont="1" applyFill="1" applyBorder="1" applyAlignment="1">
      <alignment vertical="center"/>
    </xf>
    <xf numFmtId="20" fontId="7" fillId="5" borderId="46" xfId="0" applyNumberFormat="1" applyFont="1" applyFill="1" applyBorder="1" applyAlignment="1">
      <alignment horizontal="center" vertical="center" wrapText="1"/>
    </xf>
    <xf numFmtId="0" fontId="14" fillId="5" borderId="46" xfId="0" applyFont="1" applyFill="1" applyBorder="1" applyAlignment="1">
      <alignment vertical="center"/>
    </xf>
    <xf numFmtId="0" fontId="10" fillId="0" borderId="46" xfId="0" applyFont="1" applyBorder="1" applyAlignment="1">
      <alignment vertical="center"/>
    </xf>
    <xf numFmtId="0" fontId="7" fillId="5" borderId="46" xfId="0" applyFont="1" applyFill="1" applyBorder="1" applyAlignment="1">
      <alignment horizontal="center" vertical="center" wrapText="1"/>
    </xf>
    <xf numFmtId="0" fontId="64" fillId="5" borderId="46" xfId="0" applyFont="1" applyFill="1" applyBorder="1" applyAlignment="1">
      <alignment vertical="center"/>
    </xf>
    <xf numFmtId="0" fontId="44" fillId="0" borderId="46" xfId="0" applyFont="1" applyFill="1" applyBorder="1" applyAlignment="1">
      <alignment vertical="center"/>
    </xf>
    <xf numFmtId="0" fontId="10" fillId="0" borderId="24" xfId="0" applyFont="1" applyBorder="1" applyAlignment="1">
      <alignment vertical="center" wrapText="1"/>
    </xf>
    <xf numFmtId="0" fontId="14" fillId="22" borderId="24" xfId="0" applyFont="1" applyFill="1" applyBorder="1" applyAlignment="1">
      <alignment vertical="center"/>
    </xf>
    <xf numFmtId="20" fontId="7" fillId="0" borderId="46" xfId="0" applyNumberFormat="1" applyFont="1" applyFill="1" applyBorder="1" applyAlignment="1">
      <alignment horizontal="center" vertical="center" wrapText="1"/>
    </xf>
    <xf numFmtId="20" fontId="7" fillId="18" borderId="46" xfId="0" applyNumberFormat="1" applyFont="1" applyFill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46" xfId="0" applyFont="1" applyBorder="1" applyAlignment="1">
      <alignment vertical="center"/>
    </xf>
    <xf numFmtId="20" fontId="1" fillId="0" borderId="46" xfId="0" applyNumberFormat="1" applyFont="1" applyBorder="1" applyAlignment="1">
      <alignment horizontal="center" vertical="center" wrapText="1"/>
    </xf>
    <xf numFmtId="0" fontId="62" fillId="0" borderId="46" xfId="0" applyFont="1" applyBorder="1" applyAlignment="1">
      <alignment vertical="center"/>
    </xf>
    <xf numFmtId="20" fontId="62" fillId="0" borderId="46" xfId="0" applyNumberFormat="1" applyFont="1" applyBorder="1" applyAlignment="1">
      <alignment horizontal="center" vertical="center" wrapText="1"/>
    </xf>
    <xf numFmtId="0" fontId="48" fillId="0" borderId="46" xfId="0" applyFont="1" applyBorder="1" applyAlignment="1">
      <alignment vertical="center"/>
    </xf>
    <xf numFmtId="0" fontId="14" fillId="22" borderId="46" xfId="0" applyFont="1" applyFill="1" applyBorder="1" applyAlignment="1">
      <alignment vertical="center"/>
    </xf>
    <xf numFmtId="0" fontId="65" fillId="0" borderId="46" xfId="0" applyFont="1" applyBorder="1" applyAlignment="1">
      <alignment vertical="center"/>
    </xf>
    <xf numFmtId="20" fontId="65" fillId="0" borderId="46" xfId="0" applyNumberFormat="1" applyFont="1" applyBorder="1" applyAlignment="1">
      <alignment horizontal="center" vertical="center" wrapText="1"/>
    </xf>
    <xf numFmtId="0" fontId="10" fillId="14" borderId="46" xfId="0" applyFont="1" applyFill="1" applyBorder="1" applyAlignment="1">
      <alignment vertical="center"/>
    </xf>
    <xf numFmtId="0" fontId="7" fillId="0" borderId="46" xfId="0" applyFont="1" applyBorder="1" applyAlignment="1">
      <alignment horizontal="center" vertical="center"/>
    </xf>
    <xf numFmtId="0" fontId="7" fillId="0" borderId="46" xfId="0" applyFont="1" applyBorder="1" applyAlignment="1">
      <alignment vertical="center"/>
    </xf>
    <xf numFmtId="20" fontId="7" fillId="0" borderId="46" xfId="0" applyNumberFormat="1" applyFont="1" applyBorder="1" applyAlignment="1">
      <alignment horizontal="center" vertical="center" wrapText="1"/>
    </xf>
    <xf numFmtId="0" fontId="44" fillId="0" borderId="20" xfId="0" applyFont="1" applyBorder="1" applyAlignment="1">
      <alignment vertical="center"/>
    </xf>
    <xf numFmtId="0" fontId="45" fillId="7" borderId="46" xfId="0" applyFont="1" applyFill="1" applyBorder="1" applyAlignment="1">
      <alignment vertical="center"/>
    </xf>
    <xf numFmtId="0" fontId="61" fillId="5" borderId="46" xfId="0" applyFont="1" applyFill="1" applyBorder="1" applyAlignment="1">
      <alignment vertical="center"/>
    </xf>
    <xf numFmtId="0" fontId="10" fillId="5" borderId="46" xfId="0" applyFont="1" applyFill="1" applyBorder="1" applyAlignment="1">
      <alignment vertical="center"/>
    </xf>
    <xf numFmtId="0" fontId="0" fillId="0" borderId="46" xfId="0" applyBorder="1" applyAlignment="1">
      <alignment vertical="center"/>
    </xf>
    <xf numFmtId="0" fontId="61" fillId="0" borderId="46" xfId="0" applyFont="1" applyBorder="1" applyAlignment="1">
      <alignment vertical="center"/>
    </xf>
    <xf numFmtId="0" fontId="10" fillId="18" borderId="20" xfId="0" applyFont="1" applyFill="1" applyBorder="1" applyAlignment="1">
      <alignment vertical="center"/>
    </xf>
    <xf numFmtId="0" fontId="10" fillId="22" borderId="5" xfId="0" applyFont="1" applyFill="1" applyBorder="1" applyAlignment="1">
      <alignment vertical="center" wrapText="1"/>
    </xf>
    <xf numFmtId="0" fontId="10" fillId="0" borderId="46" xfId="0" applyFont="1" applyBorder="1" applyAlignment="1">
      <alignment vertical="center"/>
    </xf>
    <xf numFmtId="0" fontId="0" fillId="0" borderId="0" xfId="0" applyAlignment="1">
      <alignment vertical="center"/>
    </xf>
    <xf numFmtId="0" fontId="10" fillId="5" borderId="46" xfId="0" applyFont="1" applyFill="1" applyBorder="1" applyAlignment="1">
      <alignment vertical="center"/>
    </xf>
    <xf numFmtId="0" fontId="8" fillId="0" borderId="12" xfId="0" applyFont="1" applyBorder="1" applyAlignment="1">
      <alignment horizontal="center" vertical="center"/>
    </xf>
    <xf numFmtId="0" fontId="8" fillId="0" borderId="11" xfId="0" applyFont="1" applyBorder="1" applyAlignment="1">
      <alignment vertical="center"/>
    </xf>
    <xf numFmtId="0" fontId="9" fillId="0" borderId="12" xfId="0" applyFont="1" applyBorder="1" applyAlignment="1">
      <alignment horizontal="center" vertical="center"/>
    </xf>
    <xf numFmtId="0" fontId="10" fillId="0" borderId="46" xfId="0" applyFont="1" applyBorder="1" applyAlignment="1">
      <alignment horizontal="right" vertical="center"/>
    </xf>
    <xf numFmtId="0" fontId="8" fillId="0" borderId="24" xfId="0" applyFont="1" applyBorder="1" applyAlignment="1">
      <alignment vertical="center"/>
    </xf>
    <xf numFmtId="0" fontId="65" fillId="5" borderId="13" xfId="0" applyFont="1" applyFill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62" fillId="5" borderId="13" xfId="0" applyFont="1" applyFill="1" applyBorder="1" applyAlignment="1">
      <alignment horizontal="center" vertical="center"/>
    </xf>
    <xf numFmtId="0" fontId="65" fillId="5" borderId="13" xfId="0" applyFont="1" applyFill="1" applyBorder="1" applyAlignment="1">
      <alignment vertical="center"/>
    </xf>
    <xf numFmtId="0" fontId="52" fillId="0" borderId="13" xfId="0" applyFont="1" applyBorder="1" applyAlignment="1">
      <alignment vertical="center"/>
    </xf>
    <xf numFmtId="0" fontId="58" fillId="0" borderId="14" xfId="0" applyFont="1" applyBorder="1" applyAlignment="1">
      <alignment vertical="center"/>
    </xf>
    <xf numFmtId="0" fontId="1" fillId="0" borderId="12" xfId="0" applyFont="1" applyBorder="1" applyAlignment="1">
      <alignment horizontal="center" vertical="center" wrapText="1"/>
    </xf>
    <xf numFmtId="0" fontId="2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56" fillId="0" borderId="14" xfId="0" applyFont="1" applyBorder="1" applyAlignment="1">
      <alignment vertical="center"/>
    </xf>
    <xf numFmtId="0" fontId="1" fillId="4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vertical="center"/>
    </xf>
    <xf numFmtId="0" fontId="10" fillId="5" borderId="19" xfId="0" applyFont="1" applyFill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1" fillId="5" borderId="19" xfId="0" applyFont="1" applyFill="1" applyBorder="1" applyAlignment="1">
      <alignment horizontal="center" vertical="center" wrapText="1"/>
    </xf>
    <xf numFmtId="0" fontId="9" fillId="5" borderId="19" xfId="0" applyFont="1" applyFill="1" applyBorder="1" applyAlignment="1">
      <alignment horizontal="center" vertical="center"/>
    </xf>
    <xf numFmtId="0" fontId="11" fillId="5" borderId="19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right" vertical="center"/>
    </xf>
    <xf numFmtId="0" fontId="7" fillId="5" borderId="13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5" borderId="23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4" fillId="7" borderId="13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5" fillId="5" borderId="23" xfId="0" applyFont="1" applyFill="1" applyBorder="1" applyAlignment="1">
      <alignment horizontal="center" vertical="center" wrapText="1"/>
    </xf>
    <xf numFmtId="0" fontId="1" fillId="7" borderId="23" xfId="0" applyFont="1" applyFill="1" applyBorder="1" applyAlignment="1">
      <alignment horizontal="center" vertical="center"/>
    </xf>
    <xf numFmtId="0" fontId="20" fillId="7" borderId="23" xfId="0" applyFont="1" applyFill="1" applyBorder="1" applyAlignment="1">
      <alignment horizontal="center" vertical="center" wrapText="1"/>
    </xf>
    <xf numFmtId="0" fontId="20" fillId="7" borderId="13" xfId="0" applyFont="1" applyFill="1" applyBorder="1" applyAlignment="1">
      <alignment horizontal="center" vertical="center" wrapText="1"/>
    </xf>
    <xf numFmtId="0" fontId="1" fillId="7" borderId="23" xfId="0" applyFont="1" applyFill="1" applyBorder="1" applyAlignment="1">
      <alignment horizontal="center" vertical="center" wrapText="1"/>
    </xf>
    <xf numFmtId="0" fontId="1" fillId="7" borderId="13" xfId="0" applyFont="1" applyFill="1" applyBorder="1" applyAlignment="1">
      <alignment horizontal="center" vertical="center" wrapText="1"/>
    </xf>
    <xf numFmtId="0" fontId="19" fillId="0" borderId="13" xfId="0" applyFont="1" applyBorder="1" applyAlignment="1">
      <alignment vertical="center" wrapText="1"/>
    </xf>
    <xf numFmtId="0" fontId="15" fillId="0" borderId="13" xfId="0" applyFont="1" applyBorder="1" applyAlignment="1">
      <alignment horizontal="right" vertical="center" wrapText="1"/>
    </xf>
    <xf numFmtId="0" fontId="1" fillId="0" borderId="13" xfId="0" applyFont="1" applyBorder="1" applyAlignment="1">
      <alignment horizontal="center" vertical="center" wrapText="1"/>
    </xf>
    <xf numFmtId="0" fontId="8" fillId="0" borderId="13" xfId="0" applyFont="1" applyBorder="1" applyAlignment="1">
      <alignment vertical="center"/>
    </xf>
    <xf numFmtId="0" fontId="10" fillId="0" borderId="13" xfId="0" applyFont="1" applyBorder="1" applyAlignment="1">
      <alignment horizontal="right" vertical="center" wrapText="1"/>
    </xf>
    <xf numFmtId="0" fontId="14" fillId="0" borderId="13" xfId="0" applyFont="1" applyBorder="1" applyAlignment="1">
      <alignment vertical="center"/>
    </xf>
    <xf numFmtId="0" fontId="4" fillId="4" borderId="30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vertical="center"/>
    </xf>
    <xf numFmtId="0" fontId="7" fillId="0" borderId="13" xfId="0" applyFont="1" applyBorder="1" applyAlignment="1">
      <alignment horizontal="center" vertical="center" wrapText="1"/>
    </xf>
    <xf numFmtId="0" fontId="7" fillId="5" borderId="13" xfId="0" applyFont="1" applyFill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9" fillId="7" borderId="13" xfId="0" applyFont="1" applyFill="1" applyBorder="1" applyAlignment="1">
      <alignment vertical="center" wrapText="1"/>
    </xf>
    <xf numFmtId="0" fontId="15" fillId="7" borderId="13" xfId="0" applyFont="1" applyFill="1" applyBorder="1" applyAlignment="1">
      <alignment horizontal="right" vertical="center" wrapText="1"/>
    </xf>
    <xf numFmtId="0" fontId="8" fillId="0" borderId="12" xfId="0" applyFont="1" applyBorder="1" applyAlignment="1">
      <alignment vertical="center"/>
    </xf>
    <xf numFmtId="0" fontId="10" fillId="0" borderId="12" xfId="0" applyFont="1" applyBorder="1" applyAlignment="1">
      <alignment horizontal="right" vertical="center"/>
    </xf>
    <xf numFmtId="0" fontId="56" fillId="0" borderId="11" xfId="0" applyFont="1" applyBorder="1" applyAlignment="1">
      <alignment vertical="center"/>
    </xf>
    <xf numFmtId="0" fontId="56" fillId="0" borderId="28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0" xfId="0" applyFont="1" applyBorder="1" applyAlignment="1">
      <alignment horizontal="center" vertical="center" wrapText="1"/>
    </xf>
    <xf numFmtId="0" fontId="8" fillId="0" borderId="14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2" fillId="0" borderId="28" xfId="0" applyFont="1" applyBorder="1" applyAlignment="1">
      <alignment vertical="center"/>
    </xf>
    <xf numFmtId="0" fontId="7" fillId="0" borderId="53" xfId="0" applyFont="1" applyBorder="1" applyAlignment="1">
      <alignment horizontal="center" vertical="center" wrapText="1"/>
    </xf>
    <xf numFmtId="0" fontId="0" fillId="0" borderId="53" xfId="0" applyBorder="1" applyAlignment="1">
      <alignment vertical="center"/>
    </xf>
    <xf numFmtId="0" fontId="7" fillId="5" borderId="10" xfId="0" applyFont="1" applyFill="1" applyBorder="1" applyAlignment="1">
      <alignment horizontal="center" vertical="center" wrapText="1"/>
    </xf>
    <xf numFmtId="0" fontId="9" fillId="0" borderId="46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15" xfId="0" applyFont="1" applyBorder="1" applyAlignment="1">
      <alignment vertical="center"/>
    </xf>
    <xf numFmtId="0" fontId="10" fillId="0" borderId="46" xfId="0" applyFont="1" applyBorder="1" applyAlignment="1">
      <alignment vertical="center"/>
    </xf>
    <xf numFmtId="0" fontId="4" fillId="4" borderId="8" xfId="0" applyFont="1" applyFill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10" fillId="0" borderId="49" xfId="0" applyFont="1" applyBorder="1" applyAlignment="1">
      <alignment vertical="center"/>
    </xf>
    <xf numFmtId="0" fontId="2" fillId="0" borderId="48" xfId="0" applyFont="1" applyBorder="1" applyAlignment="1">
      <alignment vertical="center"/>
    </xf>
    <xf numFmtId="0" fontId="7" fillId="4" borderId="8" xfId="0" applyFont="1" applyFill="1" applyBorder="1" applyAlignment="1">
      <alignment horizontal="center" vertical="center" wrapText="1"/>
    </xf>
    <xf numFmtId="0" fontId="7" fillId="0" borderId="53" xfId="0" applyFont="1" applyBorder="1" applyAlignment="1">
      <alignment vertical="center"/>
    </xf>
    <xf numFmtId="0" fontId="56" fillId="0" borderId="53" xfId="0" applyFont="1" applyBorder="1" applyAlignment="1">
      <alignment vertical="center"/>
    </xf>
    <xf numFmtId="0" fontId="11" fillId="0" borderId="1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right" vertical="center" wrapText="1"/>
    </xf>
    <xf numFmtId="0" fontId="4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vertical="center"/>
    </xf>
    <xf numFmtId="0" fontId="14" fillId="0" borderId="13" xfId="0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20" fontId="1" fillId="4" borderId="8" xfId="0" applyNumberFormat="1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4" fillId="0" borderId="13" xfId="0" applyFont="1" applyBorder="1" applyAlignment="1">
      <alignment horizontal="left" vertical="center"/>
    </xf>
    <xf numFmtId="0" fontId="7" fillId="0" borderId="56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/>
    </xf>
    <xf numFmtId="0" fontId="10" fillId="5" borderId="4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2" fillId="17" borderId="0" xfId="0" applyFont="1" applyFill="1" applyAlignment="1">
      <alignment horizontal="center" vertical="center"/>
    </xf>
    <xf numFmtId="0" fontId="43" fillId="17" borderId="0" xfId="0" applyFont="1" applyFill="1" applyAlignment="1">
      <alignment vertical="center"/>
    </xf>
    <xf numFmtId="0" fontId="40" fillId="13" borderId="0" xfId="0" applyFont="1" applyFill="1" applyAlignment="1">
      <alignment horizontal="center" vertical="center"/>
    </xf>
    <xf numFmtId="0" fontId="41" fillId="13" borderId="0" xfId="0" applyFont="1" applyFill="1" applyAlignment="1">
      <alignment vertical="center"/>
    </xf>
    <xf numFmtId="0" fontId="38" fillId="2" borderId="1" xfId="0" applyFont="1" applyFill="1" applyBorder="1" applyAlignment="1">
      <alignment horizontal="center" vertical="center"/>
    </xf>
    <xf numFmtId="0" fontId="39" fillId="0" borderId="2" xfId="0" applyFont="1" applyBorder="1" applyAlignment="1">
      <alignment vertical="center"/>
    </xf>
    <xf numFmtId="0" fontId="39" fillId="0" borderId="3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14" fontId="35" fillId="12" borderId="0" xfId="0" applyNumberFormat="1" applyFont="1" applyFill="1" applyAlignment="1">
      <alignment horizontal="center" vertical="center"/>
    </xf>
    <xf numFmtId="0" fontId="35" fillId="12" borderId="0" xfId="0" applyFont="1" applyFill="1" applyAlignment="1">
      <alignment horizontal="center" vertical="center"/>
    </xf>
    <xf numFmtId="0" fontId="56" fillId="0" borderId="56" xfId="0" applyFont="1" applyBorder="1" applyAlignment="1">
      <alignment horizontal="center" vertical="center"/>
    </xf>
    <xf numFmtId="0" fontId="56" fillId="0" borderId="57" xfId="0" applyFont="1" applyBorder="1" applyAlignment="1">
      <alignment horizontal="center" vertical="center"/>
    </xf>
    <xf numFmtId="0" fontId="56" fillId="0" borderId="28" xfId="0" applyFont="1" applyBorder="1" applyAlignment="1">
      <alignment horizontal="center" vertical="center"/>
    </xf>
    <xf numFmtId="0" fontId="56" fillId="0" borderId="58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56" fillId="0" borderId="10" xfId="0" applyFont="1" applyBorder="1" applyAlignment="1">
      <alignment vertical="center"/>
    </xf>
    <xf numFmtId="0" fontId="26" fillId="5" borderId="13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right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9" fillId="5" borderId="13" xfId="0" applyFont="1" applyFill="1" applyBorder="1" applyAlignment="1">
      <alignment horizontal="center" vertical="center"/>
    </xf>
    <xf numFmtId="0" fontId="10" fillId="5" borderId="32" xfId="0" applyFont="1" applyFill="1" applyBorder="1" applyAlignment="1">
      <alignment vertical="center"/>
    </xf>
    <xf numFmtId="0" fontId="62" fillId="0" borderId="10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0" fontId="1" fillId="4" borderId="46" xfId="0" applyFont="1" applyFill="1" applyBorder="1" applyAlignment="1">
      <alignment horizontal="center" vertical="center" wrapText="1"/>
    </xf>
    <xf numFmtId="0" fontId="2" fillId="0" borderId="52" xfId="0" applyFont="1" applyBorder="1" applyAlignment="1">
      <alignment vertical="center"/>
    </xf>
    <xf numFmtId="0" fontId="65" fillId="0" borderId="23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21" fillId="0" borderId="20" xfId="0" applyFont="1" applyBorder="1" applyAlignment="1">
      <alignment vertical="center"/>
    </xf>
    <xf numFmtId="0" fontId="10" fillId="3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6" fillId="0" borderId="13" xfId="0" applyFont="1" applyBorder="1" applyAlignment="1">
      <alignment vertical="center"/>
    </xf>
    <xf numFmtId="0" fontId="8" fillId="5" borderId="19" xfId="0" applyFont="1" applyFill="1" applyBorder="1" applyAlignment="1">
      <alignment vertical="center"/>
    </xf>
    <xf numFmtId="0" fontId="1" fillId="4" borderId="18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21" fillId="0" borderId="11" xfId="0" applyFont="1" applyBorder="1" applyAlignment="1">
      <alignment vertical="center"/>
    </xf>
    <xf numFmtId="0" fontId="61" fillId="0" borderId="46" xfId="0" applyFont="1" applyBorder="1" applyAlignment="1">
      <alignment horizontal="right" vertical="center"/>
    </xf>
    <xf numFmtId="0" fontId="56" fillId="0" borderId="24" xfId="0" applyFont="1" applyBorder="1" applyAlignment="1">
      <alignment vertical="center"/>
    </xf>
    <xf numFmtId="0" fontId="67" fillId="0" borderId="19" xfId="0" applyFont="1" applyBorder="1" applyAlignment="1">
      <alignment horizontal="center" vertical="center"/>
    </xf>
    <xf numFmtId="0" fontId="61" fillId="0" borderId="46" xfId="0" applyFont="1" applyBorder="1" applyAlignment="1">
      <alignment vertical="center"/>
    </xf>
    <xf numFmtId="0" fontId="14" fillId="0" borderId="56" xfId="0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0" fontId="57" fillId="0" borderId="56" xfId="0" applyFont="1" applyBorder="1" applyAlignment="1">
      <alignment horizontal="center" vertical="center"/>
    </xf>
    <xf numFmtId="0" fontId="57" fillId="0" borderId="57" xfId="0" applyFont="1" applyBorder="1" applyAlignment="1">
      <alignment horizontal="center" vertical="center"/>
    </xf>
    <xf numFmtId="0" fontId="21" fillId="0" borderId="56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0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5" fillId="5" borderId="30" xfId="0" applyFont="1" applyFill="1" applyBorder="1" applyAlignment="1">
      <alignment vertical="top"/>
    </xf>
    <xf numFmtId="0" fontId="2" fillId="0" borderId="17" xfId="0" applyFont="1" applyBorder="1"/>
    <xf numFmtId="0" fontId="7" fillId="5" borderId="30" xfId="0" applyFont="1" applyFill="1" applyBorder="1" applyAlignment="1">
      <alignment horizontal="left" vertical="top"/>
    </xf>
    <xf numFmtId="0" fontId="2" fillId="0" borderId="33" xfId="0" applyFont="1" applyBorder="1"/>
    <xf numFmtId="0" fontId="7" fillId="0" borderId="30" xfId="0" applyFont="1" applyBorder="1" applyAlignment="1">
      <alignment horizontal="left" vertical="top"/>
    </xf>
    <xf numFmtId="0" fontId="7" fillId="11" borderId="35" xfId="0" applyFont="1" applyFill="1" applyBorder="1" applyAlignment="1">
      <alignment horizontal="center" vertical="center" wrapText="1"/>
    </xf>
    <xf numFmtId="0" fontId="2" fillId="0" borderId="29" xfId="0" applyFont="1" applyBorder="1"/>
    <xf numFmtId="0" fontId="2" fillId="0" borderId="37" xfId="0" applyFont="1" applyBorder="1"/>
    <xf numFmtId="0" fontId="2" fillId="0" borderId="12" xfId="0" applyFont="1" applyBorder="1"/>
    <xf numFmtId="0" fontId="2" fillId="0" borderId="34" xfId="0" applyFont="1" applyBorder="1"/>
    <xf numFmtId="0" fontId="2" fillId="0" borderId="11" xfId="0" applyFont="1" applyBorder="1"/>
    <xf numFmtId="0" fontId="2" fillId="0" borderId="36" xfId="0" applyFont="1" applyBorder="1"/>
    <xf numFmtId="0" fontId="0" fillId="0" borderId="0" xfId="0"/>
    <xf numFmtId="0" fontId="2" fillId="0" borderId="15" xfId="0" applyFont="1" applyBorder="1"/>
    <xf numFmtId="0" fontId="7" fillId="0" borderId="34" xfId="0" applyFont="1" applyBorder="1" applyAlignment="1">
      <alignment horizontal="center" vertical="top"/>
    </xf>
    <xf numFmtId="0" fontId="5" fillId="11" borderId="35" xfId="0" applyFont="1" applyFill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top"/>
    </xf>
    <xf numFmtId="0" fontId="7" fillId="11" borderId="13" xfId="0" applyFont="1" applyFill="1" applyBorder="1" applyAlignment="1">
      <alignment horizontal="center" vertical="center" wrapText="1"/>
    </xf>
    <xf numFmtId="0" fontId="2" fillId="0" borderId="10" xfId="0" applyFont="1" applyBorder="1"/>
    <xf numFmtId="0" fontId="2" fillId="0" borderId="14" xfId="0" applyFont="1" applyBorder="1"/>
    <xf numFmtId="0" fontId="7" fillId="0" borderId="30" xfId="0" applyFont="1" applyBorder="1" applyAlignment="1">
      <alignment horizontal="center" vertical="top"/>
    </xf>
    <xf numFmtId="0" fontId="15" fillId="0" borderId="30" xfId="0" applyFont="1" applyBorder="1" applyAlignment="1">
      <alignment horizontal="left" vertical="top"/>
    </xf>
    <xf numFmtId="0" fontId="15" fillId="0" borderId="30" xfId="0" applyFont="1" applyBorder="1" applyAlignment="1">
      <alignment horizontal="center" vertical="top"/>
    </xf>
    <xf numFmtId="0" fontId="15" fillId="9" borderId="1" xfId="0" applyFont="1" applyFill="1" applyBorder="1" applyAlignment="1">
      <alignment horizontal="left" vertical="top"/>
    </xf>
    <xf numFmtId="0" fontId="2" fillId="0" borderId="2" xfId="0" applyFont="1" applyBorder="1"/>
    <xf numFmtId="0" fontId="2" fillId="0" borderId="3" xfId="0" applyFont="1" applyBorder="1"/>
    <xf numFmtId="0" fontId="8" fillId="0" borderId="15" xfId="0" applyFont="1" applyBorder="1"/>
    <xf numFmtId="0" fontId="5" fillId="5" borderId="30" xfId="0" applyFont="1" applyFill="1" applyBorder="1" applyAlignment="1">
      <alignment horizontal="left" vertical="top"/>
    </xf>
    <xf numFmtId="0" fontId="32" fillId="0" borderId="0" xfId="0" applyFont="1" applyAlignment="1">
      <alignment horizontal="center" vertical="top"/>
    </xf>
    <xf numFmtId="0" fontId="7" fillId="0" borderId="13" xfId="0" applyFont="1" applyBorder="1" applyAlignment="1">
      <alignment horizontal="center"/>
    </xf>
    <xf numFmtId="0" fontId="2" fillId="0" borderId="38" xfId="0" applyFont="1" applyBorder="1"/>
    <xf numFmtId="0" fontId="2" fillId="0" borderId="40" xfId="0" applyFont="1" applyBorder="1"/>
    <xf numFmtId="0" fontId="2" fillId="0" borderId="39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0" fontId="18" fillId="5" borderId="30" xfId="0" applyFont="1" applyFill="1" applyBorder="1" applyAlignment="1">
      <alignment horizontal="left" vertical="top"/>
    </xf>
    <xf numFmtId="0" fontId="8" fillId="0" borderId="30" xfId="0" applyFont="1" applyBorder="1" applyAlignment="1">
      <alignment vertical="top"/>
    </xf>
    <xf numFmtId="0" fontId="10" fillId="0" borderId="30" xfId="0" applyFont="1" applyBorder="1" applyAlignment="1">
      <alignment vertical="top"/>
    </xf>
    <xf numFmtId="0" fontId="7" fillId="11" borderId="35" xfId="0" applyFont="1" applyFill="1" applyBorder="1" applyAlignment="1">
      <alignment horizontal="center" wrapText="1"/>
    </xf>
    <xf numFmtId="0" fontId="30" fillId="11" borderId="13" xfId="0" applyFont="1" applyFill="1" applyBorder="1" applyAlignment="1">
      <alignment horizontal="center" wrapText="1"/>
    </xf>
    <xf numFmtId="0" fontId="7" fillId="11" borderId="13" xfId="0" applyFont="1" applyFill="1" applyBorder="1" applyAlignment="1">
      <alignment horizontal="center" wrapText="1"/>
    </xf>
    <xf numFmtId="0" fontId="18" fillId="0" borderId="10" xfId="0" applyFont="1" applyBorder="1" applyAlignment="1">
      <alignment horizontal="center"/>
    </xf>
    <xf numFmtId="0" fontId="1" fillId="0" borderId="30" xfId="0" applyFont="1" applyBorder="1" applyAlignment="1">
      <alignment horizontal="left" vertical="top"/>
    </xf>
    <xf numFmtId="0" fontId="1" fillId="11" borderId="35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left" vertical="top"/>
    </xf>
    <xf numFmtId="0" fontId="29" fillId="0" borderId="10" xfId="0" applyFont="1" applyBorder="1" applyAlignment="1">
      <alignment horizontal="center"/>
    </xf>
    <xf numFmtId="0" fontId="7" fillId="11" borderId="13" xfId="0" applyFont="1" applyFill="1" applyBorder="1" applyAlignment="1">
      <alignment horizontal="center" vertical="top" wrapText="1"/>
    </xf>
    <xf numFmtId="0" fontId="1" fillId="11" borderId="13" xfId="0" applyFont="1" applyFill="1" applyBorder="1" applyAlignment="1">
      <alignment horizontal="center" vertical="center" wrapText="1"/>
    </xf>
    <xf numFmtId="0" fontId="7" fillId="0" borderId="30" xfId="0" applyFont="1" applyBorder="1" applyAlignment="1">
      <alignment vertical="top"/>
    </xf>
    <xf numFmtId="0" fontId="1" fillId="11" borderId="13" xfId="0" applyFont="1" applyFill="1" applyBorder="1" applyAlignment="1">
      <alignment horizontal="center" wrapText="1"/>
    </xf>
    <xf numFmtId="0" fontId="31" fillId="11" borderId="35" xfId="0" applyFont="1" applyFill="1" applyBorder="1" applyAlignment="1">
      <alignment horizontal="center" wrapText="1"/>
    </xf>
    <xf numFmtId="0" fontId="31" fillId="11" borderId="13" xfId="0" applyFont="1" applyFill="1" applyBorder="1" applyAlignment="1">
      <alignment horizontal="center" wrapText="1"/>
    </xf>
    <xf numFmtId="0" fontId="28" fillId="10" borderId="48" xfId="0" applyFont="1" applyFill="1" applyBorder="1" applyAlignment="1">
      <alignment horizontal="center" vertical="top"/>
    </xf>
    <xf numFmtId="0" fontId="2" fillId="0" borderId="9" xfId="0" applyFont="1" applyBorder="1"/>
    <xf numFmtId="0" fontId="7" fillId="5" borderId="49" xfId="0" applyFont="1" applyFill="1" applyBorder="1" applyAlignment="1">
      <alignment horizontal="left" vertical="top"/>
    </xf>
    <xf numFmtId="0" fontId="2" fillId="0" borderId="50" xfId="0" applyFont="1" applyBorder="1"/>
    <xf numFmtId="0" fontId="28" fillId="10" borderId="51" xfId="0" applyFont="1" applyFill="1" applyBorder="1" applyAlignment="1">
      <alignment horizontal="center" vertical="top"/>
    </xf>
    <xf numFmtId="0" fontId="2" fillId="0" borderId="52" xfId="0" applyFont="1" applyBorder="1"/>
    <xf numFmtId="0" fontId="4" fillId="0" borderId="30" xfId="0" applyFont="1" applyBorder="1" applyAlignment="1">
      <alignment horizontal="left" vertical="top"/>
    </xf>
    <xf numFmtId="0" fontId="10" fillId="9" borderId="1" xfId="0" applyFont="1" applyFill="1" applyBorder="1" applyAlignment="1">
      <alignment vertical="top"/>
    </xf>
    <xf numFmtId="0" fontId="8" fillId="0" borderId="30" xfId="0" applyFont="1" applyBorder="1"/>
    <xf numFmtId="0" fontId="27" fillId="0" borderId="34" xfId="0" applyFont="1" applyBorder="1" applyAlignment="1">
      <alignment vertical="top"/>
    </xf>
    <xf numFmtId="0" fontId="27" fillId="0" borderId="33" xfId="0" applyFont="1" applyBorder="1" applyAlignment="1">
      <alignment vertical="top"/>
    </xf>
    <xf numFmtId="0" fontId="27" fillId="0" borderId="30" xfId="0" applyFont="1" applyBorder="1" applyAlignment="1">
      <alignment vertical="top"/>
    </xf>
    <xf numFmtId="0" fontId="5" fillId="0" borderId="10" xfId="0" applyFont="1" applyBorder="1" applyAlignment="1">
      <alignment horizontal="center"/>
    </xf>
    <xf numFmtId="0" fontId="5" fillId="0" borderId="30" xfId="0" applyFont="1" applyBorder="1" applyAlignment="1">
      <alignment horizontal="left" vertical="top"/>
    </xf>
    <xf numFmtId="0" fontId="11" fillId="9" borderId="1" xfId="0" applyFont="1" applyFill="1" applyBorder="1" applyAlignment="1">
      <alignment horizontal="left" vertical="top"/>
    </xf>
    <xf numFmtId="0" fontId="7" fillId="5" borderId="35" xfId="0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27" fillId="0" borderId="35" xfId="0" applyFont="1" applyBorder="1" applyAlignment="1">
      <alignment horizontal="center" vertical="center" wrapText="1"/>
    </xf>
    <xf numFmtId="0" fontId="1" fillId="23" borderId="10" xfId="0" applyFont="1" applyFill="1" applyBorder="1" applyAlignment="1">
      <alignment horizontal="center" vertical="center" wrapText="1"/>
    </xf>
    <xf numFmtId="0" fontId="1" fillId="23" borderId="11" xfId="0" applyFont="1" applyFill="1" applyBorder="1" applyAlignment="1">
      <alignment horizontal="center" vertical="center" wrapText="1"/>
    </xf>
    <xf numFmtId="0" fontId="1" fillId="23" borderId="11" xfId="0" applyFont="1" applyFill="1" applyBorder="1" applyAlignment="1">
      <alignment vertical="center"/>
    </xf>
    <xf numFmtId="20" fontId="1" fillId="23" borderId="11" xfId="0" applyNumberFormat="1" applyFont="1" applyFill="1" applyBorder="1" applyAlignment="1">
      <alignment horizontal="center" vertical="center" wrapText="1"/>
    </xf>
    <xf numFmtId="0" fontId="14" fillId="24" borderId="7" xfId="0" applyFont="1" applyFill="1" applyBorder="1" applyAlignment="1">
      <alignment vertical="center"/>
    </xf>
    <xf numFmtId="0" fontId="10" fillId="23" borderId="11" xfId="0" applyFont="1" applyFill="1" applyBorder="1" applyAlignment="1">
      <alignment vertical="center"/>
    </xf>
    <xf numFmtId="0" fontId="1" fillId="23" borderId="12" xfId="0" applyFont="1" applyFill="1" applyBorder="1" applyAlignment="1">
      <alignment horizontal="center" vertical="center" wrapText="1"/>
    </xf>
    <xf numFmtId="0" fontId="9" fillId="23" borderId="12" xfId="0" applyFont="1" applyFill="1" applyBorder="1" applyAlignment="1">
      <alignment horizontal="center" vertical="center"/>
    </xf>
    <xf numFmtId="0" fontId="10" fillId="23" borderId="12" xfId="0" applyFont="1" applyFill="1" applyBorder="1" applyAlignment="1">
      <alignment vertical="center"/>
    </xf>
    <xf numFmtId="0" fontId="2" fillId="23" borderId="14" xfId="0" applyFont="1" applyFill="1" applyBorder="1" applyAlignment="1">
      <alignment vertical="center"/>
    </xf>
    <xf numFmtId="0" fontId="2" fillId="23" borderId="11" xfId="0" applyFont="1" applyFill="1" applyBorder="1" applyAlignment="1">
      <alignment vertical="center"/>
    </xf>
    <xf numFmtId="0" fontId="1" fillId="24" borderId="19" xfId="0" applyFont="1" applyFill="1" applyBorder="1" applyAlignment="1">
      <alignment horizontal="center" vertical="center" wrapText="1"/>
    </xf>
    <xf numFmtId="0" fontId="2" fillId="23" borderId="20" xfId="0" applyFont="1" applyFill="1" applyBorder="1" applyAlignment="1">
      <alignment vertical="center"/>
    </xf>
    <xf numFmtId="0" fontId="1" fillId="25" borderId="7" xfId="0" applyFont="1" applyFill="1" applyBorder="1" applyAlignment="1">
      <alignment horizontal="center" vertical="center" wrapText="1"/>
    </xf>
    <xf numFmtId="0" fontId="4" fillId="24" borderId="19" xfId="0" applyFont="1" applyFill="1" applyBorder="1" applyAlignment="1">
      <alignment horizontal="center" vertical="center" wrapText="1"/>
    </xf>
    <xf numFmtId="0" fontId="65" fillId="5" borderId="46" xfId="0" applyFont="1" applyFill="1" applyBorder="1" applyAlignment="1">
      <alignment vertical="center"/>
    </xf>
    <xf numFmtId="20" fontId="65" fillId="5" borderId="46" xfId="0" applyNumberFormat="1" applyFont="1" applyFill="1" applyBorder="1" applyAlignment="1">
      <alignment horizontal="center" vertical="center" wrapText="1"/>
    </xf>
    <xf numFmtId="0" fontId="1" fillId="26" borderId="5" xfId="0" applyFont="1" applyFill="1" applyBorder="1" applyAlignment="1">
      <alignment horizontal="right" vertical="center"/>
    </xf>
    <xf numFmtId="0" fontId="7" fillId="26" borderId="5" xfId="0" applyFont="1" applyFill="1" applyBorder="1" applyAlignment="1">
      <alignment horizontal="left" vertical="center"/>
    </xf>
    <xf numFmtId="0" fontId="14" fillId="26" borderId="5" xfId="0" applyFont="1" applyFill="1" applyBorder="1" applyAlignment="1">
      <alignment vertical="center"/>
    </xf>
    <xf numFmtId="0" fontId="7" fillId="26" borderId="5" xfId="0" applyFont="1" applyFill="1" applyBorder="1" applyAlignment="1">
      <alignment vertical="center"/>
    </xf>
    <xf numFmtId="0" fontId="7" fillId="26" borderId="5" xfId="0" applyFont="1" applyFill="1" applyBorder="1" applyAlignment="1">
      <alignment horizontal="right" vertical="center"/>
    </xf>
    <xf numFmtId="0" fontId="7" fillId="26" borderId="46" xfId="0" applyFont="1" applyFill="1" applyBorder="1" applyAlignment="1">
      <alignment vertical="center"/>
    </xf>
    <xf numFmtId="0" fontId="1" fillId="25" borderId="14" xfId="0" applyFont="1" applyFill="1" applyBorder="1" applyAlignment="1">
      <alignment horizontal="center" vertical="center" wrapText="1"/>
    </xf>
    <xf numFmtId="0" fontId="1" fillId="25" borderId="20" xfId="0" applyFont="1" applyFill="1" applyBorder="1" applyAlignment="1">
      <alignment horizontal="center" vertical="center" wrapText="1"/>
    </xf>
    <xf numFmtId="0" fontId="1" fillId="25" borderId="24" xfId="0" applyFont="1" applyFill="1" applyBorder="1" applyAlignment="1">
      <alignment horizontal="center" vertical="center" wrapText="1"/>
    </xf>
    <xf numFmtId="0" fontId="7" fillId="25" borderId="20" xfId="0" applyFont="1" applyFill="1" applyBorder="1" applyAlignment="1">
      <alignment horizontal="center" vertical="center" wrapText="1"/>
    </xf>
    <xf numFmtId="0" fontId="7" fillId="23" borderId="0" xfId="0" applyFont="1" applyFill="1" applyAlignment="1">
      <alignment vertical="center"/>
    </xf>
    <xf numFmtId="0" fontId="7" fillId="23" borderId="28" xfId="0" applyFont="1" applyFill="1" applyBorder="1" applyAlignment="1">
      <alignment horizontal="center" vertical="center" wrapText="1"/>
    </xf>
    <xf numFmtId="0" fontId="7" fillId="23" borderId="20" xfId="0" applyFont="1" applyFill="1" applyBorder="1" applyAlignment="1">
      <alignment horizontal="center" vertical="center" wrapText="1"/>
    </xf>
    <xf numFmtId="0" fontId="7" fillId="24" borderId="20" xfId="0" applyFont="1" applyFill="1" applyBorder="1" applyAlignment="1">
      <alignment vertical="center"/>
    </xf>
    <xf numFmtId="20" fontId="7" fillId="24" borderId="20" xfId="0" applyNumberFormat="1" applyFont="1" applyFill="1" applyBorder="1" applyAlignment="1">
      <alignment horizontal="center" vertical="center" wrapText="1"/>
    </xf>
    <xf numFmtId="0" fontId="14" fillId="24" borderId="20" xfId="0" applyFont="1" applyFill="1" applyBorder="1" applyAlignment="1">
      <alignment vertical="center"/>
    </xf>
    <xf numFmtId="0" fontId="10" fillId="23" borderId="20" xfId="0" applyFont="1" applyFill="1" applyBorder="1" applyAlignment="1">
      <alignment vertical="center"/>
    </xf>
    <xf numFmtId="0" fontId="1" fillId="23" borderId="52" xfId="0" applyFont="1" applyFill="1" applyBorder="1" applyAlignment="1">
      <alignment horizontal="center" vertical="center" wrapText="1"/>
    </xf>
    <xf numFmtId="0" fontId="9" fillId="23" borderId="52" xfId="0" applyFont="1" applyFill="1" applyBorder="1" applyAlignment="1">
      <alignment horizontal="center" vertical="center"/>
    </xf>
    <xf numFmtId="0" fontId="10" fillId="23" borderId="52" xfId="0" applyFont="1" applyFill="1" applyBorder="1" applyAlignment="1">
      <alignment vertical="center"/>
    </xf>
    <xf numFmtId="0" fontId="7" fillId="23" borderId="43" xfId="0" applyFont="1" applyFill="1" applyBorder="1" applyAlignment="1">
      <alignment vertical="center"/>
    </xf>
    <xf numFmtId="0" fontId="56" fillId="23" borderId="14" xfId="0" applyFont="1" applyFill="1" applyBorder="1" applyAlignment="1">
      <alignment vertical="center"/>
    </xf>
    <xf numFmtId="0" fontId="1" fillId="23" borderId="0" xfId="0" applyFont="1" applyFill="1" applyAlignment="1">
      <alignment vertical="center"/>
    </xf>
    <xf numFmtId="0" fontId="1" fillId="23" borderId="28" xfId="0" applyFont="1" applyFill="1" applyBorder="1" applyAlignment="1">
      <alignment horizontal="center" vertical="center" wrapText="1"/>
    </xf>
    <xf numFmtId="0" fontId="1" fillId="23" borderId="20" xfId="0" applyFont="1" applyFill="1" applyBorder="1" applyAlignment="1">
      <alignment horizontal="center" vertical="center" wrapText="1"/>
    </xf>
    <xf numFmtId="0" fontId="62" fillId="23" borderId="24" xfId="0" applyFont="1" applyFill="1" applyBorder="1" applyAlignment="1">
      <alignment vertical="center"/>
    </xf>
    <xf numFmtId="20" fontId="62" fillId="23" borderId="53" xfId="0" applyNumberFormat="1" applyFont="1" applyFill="1" applyBorder="1" applyAlignment="1">
      <alignment horizontal="center" vertical="center" wrapText="1"/>
    </xf>
    <xf numFmtId="0" fontId="14" fillId="23" borderId="27" xfId="0" applyFont="1" applyFill="1" applyBorder="1" applyAlignment="1">
      <alignment vertical="center"/>
    </xf>
    <xf numFmtId="0" fontId="14" fillId="23" borderId="5" xfId="0" applyFont="1" applyFill="1" applyBorder="1" applyAlignment="1">
      <alignment vertical="center"/>
    </xf>
    <xf numFmtId="0" fontId="8" fillId="23" borderId="52" xfId="0" applyFont="1" applyFill="1" applyBorder="1" applyAlignment="1">
      <alignment vertical="center"/>
    </xf>
    <xf numFmtId="0" fontId="10" fillId="23" borderId="52" xfId="0" applyFont="1" applyFill="1" applyBorder="1" applyAlignment="1">
      <alignment horizontal="right" vertical="center"/>
    </xf>
    <xf numFmtId="0" fontId="16" fillId="23" borderId="43" xfId="0" applyFont="1" applyFill="1" applyBorder="1" applyAlignment="1">
      <alignment vertical="center"/>
    </xf>
    <xf numFmtId="0" fontId="48" fillId="23" borderId="5" xfId="0" applyFont="1" applyFill="1" applyBorder="1" applyAlignment="1">
      <alignment vertical="center"/>
    </xf>
    <xf numFmtId="0" fontId="56" fillId="23" borderId="20" xfId="0" applyFont="1" applyFill="1" applyBorder="1" applyAlignment="1">
      <alignment vertical="center"/>
    </xf>
    <xf numFmtId="0" fontId="16" fillId="23" borderId="0" xfId="0" applyFont="1" applyFill="1" applyAlignment="1">
      <alignment vertical="center"/>
    </xf>
    <xf numFmtId="0" fontId="65" fillId="23" borderId="0" xfId="0" applyFont="1" applyFill="1" applyAlignment="1">
      <alignment vertical="center"/>
    </xf>
    <xf numFmtId="0" fontId="14" fillId="22" borderId="5" xfId="0" applyFont="1" applyFill="1" applyBorder="1" applyAlignment="1">
      <alignment vertical="center"/>
    </xf>
    <xf numFmtId="0" fontId="1" fillId="23" borderId="20" xfId="0" applyFont="1" applyFill="1" applyBorder="1" applyAlignment="1">
      <alignment vertical="center"/>
    </xf>
    <xf numFmtId="20" fontId="1" fillId="23" borderId="20" xfId="0" applyNumberFormat="1" applyFont="1" applyFill="1" applyBorder="1" applyAlignment="1">
      <alignment horizontal="center" vertical="center" wrapText="1"/>
    </xf>
    <xf numFmtId="20" fontId="1" fillId="23" borderId="24" xfId="0" applyNumberFormat="1" applyFont="1" applyFill="1" applyBorder="1" applyAlignment="1">
      <alignment horizontal="center" vertical="center" wrapText="1"/>
    </xf>
    <xf numFmtId="0" fontId="8" fillId="24" borderId="52" xfId="0" applyFont="1" applyFill="1" applyBorder="1" applyAlignment="1">
      <alignment vertical="center"/>
    </xf>
    <xf numFmtId="0" fontId="4" fillId="24" borderId="52" xfId="0" applyFont="1" applyFill="1" applyBorder="1" applyAlignment="1">
      <alignment horizontal="center" vertical="center" wrapText="1"/>
    </xf>
    <xf numFmtId="0" fontId="1" fillId="23" borderId="43" xfId="0" applyFont="1" applyFill="1" applyBorder="1" applyAlignment="1">
      <alignment vertical="center"/>
    </xf>
    <xf numFmtId="0" fontId="10" fillId="24" borderId="7" xfId="0" applyFont="1" applyFill="1" applyBorder="1" applyAlignment="1">
      <alignment vertical="center"/>
    </xf>
    <xf numFmtId="0" fontId="1" fillId="23" borderId="29" xfId="0" applyFont="1" applyFill="1" applyBorder="1" applyAlignment="1">
      <alignment horizontal="center" vertical="center"/>
    </xf>
    <xf numFmtId="0" fontId="1" fillId="23" borderId="13" xfId="0" applyFont="1" applyFill="1" applyBorder="1" applyAlignment="1">
      <alignment horizontal="center" vertical="center" wrapText="1"/>
    </xf>
    <xf numFmtId="0" fontId="4" fillId="24" borderId="0" xfId="0" applyFont="1" applyFill="1" applyAlignment="1">
      <alignment vertical="center"/>
    </xf>
    <xf numFmtId="0" fontId="23" fillId="23" borderId="0" xfId="0" applyFont="1" applyFill="1" applyAlignment="1">
      <alignment vertical="center"/>
    </xf>
    <xf numFmtId="0" fontId="16" fillId="24" borderId="4" xfId="0" applyFont="1" applyFill="1" applyBorder="1" applyAlignment="1">
      <alignment vertical="center"/>
    </xf>
    <xf numFmtId="0" fontId="16" fillId="22" borderId="13" xfId="0" applyFont="1" applyFill="1" applyBorder="1" applyAlignment="1">
      <alignment vertical="center" wrapText="1"/>
    </xf>
    <xf numFmtId="0" fontId="2" fillId="22" borderId="1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  <color rgb="FFCC00FF"/>
      <color rgb="FFFF0000"/>
      <color rgb="FF66FF66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710"/>
  <sheetViews>
    <sheetView tabSelected="1" topLeftCell="A340" zoomScale="110" zoomScaleNormal="110" zoomScaleSheetLayoutView="40" workbookViewId="0">
      <selection activeCell="L359" sqref="L359:M359"/>
    </sheetView>
  </sheetViews>
  <sheetFormatPr baseColWidth="10" defaultColWidth="12.5703125" defaultRowHeight="19.5" customHeight="1" x14ac:dyDescent="0.2"/>
  <cols>
    <col min="1" max="2" width="8" style="81" customWidth="1"/>
    <col min="3" max="3" width="10" style="81" customWidth="1"/>
    <col min="4" max="4" width="11.42578125" style="81" customWidth="1"/>
    <col min="5" max="5" width="11.28515625" style="81" customWidth="1"/>
    <col min="6" max="6" width="52.5703125" style="315" customWidth="1"/>
    <col min="7" max="7" width="17" style="252" customWidth="1"/>
    <col min="8" max="8" width="10.7109375" style="81" customWidth="1"/>
    <col min="9" max="9" width="10" style="81" customWidth="1"/>
    <col min="10" max="10" width="10.85546875" style="81" customWidth="1"/>
    <col min="11" max="11" width="9.85546875" style="252" customWidth="1"/>
    <col min="12" max="12" width="9.85546875" style="81" customWidth="1"/>
    <col min="13" max="26" width="12.42578125" style="81" customWidth="1"/>
    <col min="27" max="16384" width="12.5703125" style="81"/>
  </cols>
  <sheetData>
    <row r="1" spans="1:16" ht="19.5" customHeight="1" x14ac:dyDescent="0.2">
      <c r="A1" s="533" t="s">
        <v>0</v>
      </c>
      <c r="B1" s="531"/>
      <c r="C1" s="531"/>
      <c r="D1" s="531"/>
      <c r="E1" s="531"/>
      <c r="F1" s="531"/>
      <c r="G1" s="531"/>
      <c r="H1" s="531"/>
      <c r="I1" s="531"/>
      <c r="J1" s="531"/>
      <c r="K1" s="117"/>
      <c r="L1" s="82"/>
      <c r="M1" s="82"/>
      <c r="N1" s="82"/>
      <c r="O1" s="82"/>
      <c r="P1" s="82"/>
    </row>
    <row r="2" spans="1:16" s="252" customFormat="1" ht="19.5" customHeight="1" x14ac:dyDescent="0.2">
      <c r="A2" s="534" t="s">
        <v>1</v>
      </c>
      <c r="B2" s="535"/>
      <c r="C2" s="535"/>
      <c r="D2" s="535"/>
      <c r="E2" s="535"/>
      <c r="F2" s="535"/>
      <c r="G2" s="535"/>
      <c r="H2" s="535"/>
      <c r="I2" s="535"/>
      <c r="J2" s="535"/>
      <c r="K2" s="117"/>
      <c r="L2" s="251"/>
      <c r="M2" s="251"/>
      <c r="N2" s="251"/>
      <c r="O2" s="251"/>
      <c r="P2" s="251"/>
    </row>
    <row r="3" spans="1:16" s="252" customFormat="1" ht="19.5" customHeight="1" x14ac:dyDescent="0.2">
      <c r="A3" s="536" t="s">
        <v>2</v>
      </c>
      <c r="B3" s="537"/>
      <c r="C3" s="537"/>
      <c r="D3" s="537"/>
      <c r="E3" s="537"/>
      <c r="F3" s="537"/>
      <c r="G3" s="537"/>
      <c r="H3" s="537"/>
      <c r="I3" s="537"/>
      <c r="J3" s="537"/>
      <c r="K3" s="117"/>
      <c r="L3" s="251"/>
      <c r="M3" s="251"/>
      <c r="N3" s="251"/>
      <c r="O3" s="251"/>
      <c r="P3" s="251"/>
    </row>
    <row r="4" spans="1:16" s="252" customFormat="1" ht="19.5" customHeight="1" x14ac:dyDescent="0.2">
      <c r="A4" s="538" t="s">
        <v>3</v>
      </c>
      <c r="B4" s="539"/>
      <c r="C4" s="539"/>
      <c r="D4" s="539"/>
      <c r="E4" s="539"/>
      <c r="F4" s="539"/>
      <c r="G4" s="539"/>
      <c r="H4" s="539"/>
      <c r="I4" s="539"/>
      <c r="J4" s="540"/>
      <c r="K4" s="117"/>
      <c r="L4" s="251"/>
      <c r="M4" s="251"/>
      <c r="N4" s="251"/>
      <c r="O4" s="251"/>
      <c r="P4" s="251"/>
    </row>
    <row r="5" spans="1:16" ht="24.75" customHeight="1" x14ac:dyDescent="0.2">
      <c r="A5" s="82"/>
      <c r="B5" s="82"/>
      <c r="C5" s="82"/>
      <c r="D5" s="82"/>
      <c r="E5" s="82"/>
      <c r="F5" s="117"/>
      <c r="G5" s="117"/>
      <c r="H5" s="542">
        <v>46070</v>
      </c>
      <c r="I5" s="543"/>
      <c r="J5" s="543"/>
      <c r="K5" s="117"/>
      <c r="L5" s="82"/>
      <c r="M5" s="82"/>
      <c r="N5" s="82"/>
      <c r="O5" s="82"/>
      <c r="P5" s="82"/>
    </row>
    <row r="6" spans="1:16" ht="19.5" customHeight="1" x14ac:dyDescent="0.2">
      <c r="A6" s="83" t="s">
        <v>4</v>
      </c>
      <c r="B6" s="84" t="s">
        <v>5</v>
      </c>
      <c r="C6" s="85"/>
      <c r="D6" s="85"/>
      <c r="E6" s="85"/>
      <c r="F6" s="255"/>
      <c r="G6" s="255"/>
      <c r="H6" s="85"/>
      <c r="I6" s="85"/>
      <c r="J6" s="85"/>
      <c r="K6" s="117"/>
      <c r="L6" s="82"/>
      <c r="M6" s="82"/>
      <c r="N6" s="82"/>
      <c r="O6" s="82"/>
      <c r="P6" s="82"/>
    </row>
    <row r="7" spans="1:16" ht="19.5" customHeight="1" x14ac:dyDescent="0.2">
      <c r="A7" s="82"/>
      <c r="B7" s="82"/>
      <c r="C7" s="82"/>
      <c r="D7" s="82"/>
      <c r="E7" s="82"/>
      <c r="F7" s="117"/>
      <c r="G7" s="117"/>
      <c r="H7" s="82"/>
      <c r="I7" s="82"/>
      <c r="J7" s="82"/>
      <c r="K7" s="117"/>
      <c r="L7" s="82"/>
      <c r="M7" s="82"/>
      <c r="N7" s="82"/>
      <c r="O7" s="82"/>
      <c r="P7" s="82"/>
    </row>
    <row r="8" spans="1:16" ht="19.5" customHeight="1" x14ac:dyDescent="0.2">
      <c r="A8" s="86" t="s">
        <v>6</v>
      </c>
      <c r="B8" s="87">
        <v>2018</v>
      </c>
      <c r="C8" s="86" t="s">
        <v>7</v>
      </c>
      <c r="D8" s="88" t="s">
        <v>8</v>
      </c>
      <c r="E8" s="86" t="s">
        <v>9</v>
      </c>
      <c r="F8" s="291" t="s">
        <v>10</v>
      </c>
      <c r="G8" s="89" t="s">
        <v>11</v>
      </c>
      <c r="H8" s="90">
        <v>4</v>
      </c>
      <c r="I8" s="91" t="s">
        <v>12</v>
      </c>
      <c r="J8" s="90" t="s">
        <v>13</v>
      </c>
      <c r="K8" s="291" t="s">
        <v>14</v>
      </c>
      <c r="L8" s="82"/>
      <c r="M8" s="82"/>
      <c r="N8" s="82"/>
      <c r="O8" s="82"/>
      <c r="P8" s="82"/>
    </row>
    <row r="9" spans="1:16" ht="19.5" customHeight="1" x14ac:dyDescent="0.2">
      <c r="A9" s="86" t="s">
        <v>6</v>
      </c>
      <c r="B9" s="87">
        <v>2023</v>
      </c>
      <c r="C9" s="86" t="s">
        <v>7</v>
      </c>
      <c r="D9" s="88" t="s">
        <v>15</v>
      </c>
      <c r="E9" s="86" t="s">
        <v>9</v>
      </c>
      <c r="F9" s="291" t="s">
        <v>10</v>
      </c>
      <c r="G9" s="89" t="s">
        <v>11</v>
      </c>
      <c r="H9" s="90">
        <v>4</v>
      </c>
      <c r="I9" s="91" t="s">
        <v>12</v>
      </c>
      <c r="J9" s="90" t="s">
        <v>13</v>
      </c>
      <c r="K9" s="258"/>
      <c r="L9" s="82"/>
      <c r="M9" s="82"/>
      <c r="N9" s="82"/>
      <c r="O9" s="82"/>
      <c r="P9" s="82"/>
    </row>
    <row r="10" spans="1:16" ht="19.5" customHeight="1" x14ac:dyDescent="0.2">
      <c r="A10" s="92" t="s">
        <v>16</v>
      </c>
      <c r="B10" s="93" t="s">
        <v>17</v>
      </c>
      <c r="C10" s="93" t="s">
        <v>18</v>
      </c>
      <c r="D10" s="454" t="s">
        <v>19</v>
      </c>
      <c r="E10" s="455"/>
      <c r="F10" s="94" t="s">
        <v>20</v>
      </c>
      <c r="G10" s="256"/>
      <c r="H10" s="93" t="s">
        <v>21</v>
      </c>
      <c r="I10" s="93" t="s">
        <v>22</v>
      </c>
      <c r="J10" s="94" t="s">
        <v>23</v>
      </c>
      <c r="K10" s="258"/>
      <c r="L10" s="82"/>
      <c r="M10" s="82"/>
      <c r="N10" s="82"/>
      <c r="O10" s="82"/>
      <c r="P10" s="82"/>
    </row>
    <row r="11" spans="1:16" ht="19.5" customHeight="1" x14ac:dyDescent="0.2">
      <c r="A11" s="470" t="s">
        <v>24</v>
      </c>
      <c r="B11" s="42" t="s">
        <v>17</v>
      </c>
      <c r="C11" s="95" t="s">
        <v>25</v>
      </c>
      <c r="D11" s="96">
        <v>0.33333333333333331</v>
      </c>
      <c r="E11" s="96">
        <v>0.41666666666666669</v>
      </c>
      <c r="F11" s="258"/>
      <c r="G11" s="257"/>
      <c r="H11" s="449">
        <v>5</v>
      </c>
      <c r="I11" s="440">
        <v>35</v>
      </c>
      <c r="J11" s="491">
        <f>SUM(H11:I11)</f>
        <v>40</v>
      </c>
      <c r="K11" s="482"/>
      <c r="L11" s="82"/>
      <c r="M11" s="82"/>
      <c r="N11" s="82"/>
      <c r="O11" s="82"/>
      <c r="P11" s="82"/>
    </row>
    <row r="12" spans="1:16" ht="19.5" customHeight="1" x14ac:dyDescent="0.2">
      <c r="A12" s="444"/>
      <c r="B12" s="42" t="s">
        <v>26</v>
      </c>
      <c r="C12" s="95" t="s">
        <v>25</v>
      </c>
      <c r="D12" s="96">
        <v>0.41666666666666669</v>
      </c>
      <c r="E12" s="96">
        <v>0.5</v>
      </c>
      <c r="F12" s="258"/>
      <c r="G12" s="257"/>
      <c r="H12" s="450"/>
      <c r="I12" s="450"/>
      <c r="J12" s="450"/>
      <c r="K12" s="453"/>
      <c r="L12" s="82"/>
      <c r="M12" s="82"/>
      <c r="N12" s="82"/>
      <c r="O12" s="82"/>
      <c r="P12" s="82"/>
    </row>
    <row r="13" spans="1:16" ht="19.5" customHeight="1" x14ac:dyDescent="0.2">
      <c r="A13" s="532" t="s">
        <v>27</v>
      </c>
      <c r="B13" s="97" t="s">
        <v>17</v>
      </c>
      <c r="C13" s="95" t="s">
        <v>25</v>
      </c>
      <c r="D13" s="96">
        <v>0.33333333333333331</v>
      </c>
      <c r="E13" s="96">
        <v>0.41666666666666669</v>
      </c>
      <c r="F13" s="295"/>
      <c r="G13" s="258"/>
      <c r="H13" s="532">
        <v>5</v>
      </c>
      <c r="I13" s="541">
        <v>35</v>
      </c>
      <c r="J13" s="491">
        <v>40</v>
      </c>
      <c r="K13" s="240"/>
      <c r="L13" s="82"/>
      <c r="M13" s="82"/>
      <c r="N13" s="82"/>
      <c r="O13" s="82"/>
      <c r="P13" s="82"/>
    </row>
    <row r="14" spans="1:16" ht="19.5" customHeight="1" x14ac:dyDescent="0.2">
      <c r="A14" s="506"/>
      <c r="B14" s="97" t="s">
        <v>26</v>
      </c>
      <c r="C14" s="95" t="s">
        <v>25</v>
      </c>
      <c r="D14" s="96">
        <v>0.41666666666666669</v>
      </c>
      <c r="E14" s="96">
        <v>0.5</v>
      </c>
      <c r="F14" s="295"/>
      <c r="G14" s="258"/>
      <c r="H14" s="506"/>
      <c r="I14" s="506"/>
      <c r="J14" s="450"/>
      <c r="K14" s="240"/>
      <c r="L14" s="82"/>
      <c r="M14" s="82"/>
      <c r="N14" s="82"/>
      <c r="O14" s="82"/>
      <c r="P14" s="82"/>
    </row>
    <row r="15" spans="1:16" ht="19.5" customHeight="1" x14ac:dyDescent="0.2">
      <c r="A15" s="532" t="s">
        <v>28</v>
      </c>
      <c r="B15" s="97" t="s">
        <v>17</v>
      </c>
      <c r="C15" s="95" t="s">
        <v>25</v>
      </c>
      <c r="D15" s="96">
        <v>0.33333333333333331</v>
      </c>
      <c r="E15" s="96">
        <v>0.41666666666666669</v>
      </c>
      <c r="F15" s="295"/>
      <c r="G15" s="258"/>
      <c r="H15" s="532">
        <v>5</v>
      </c>
      <c r="I15" s="541">
        <v>35</v>
      </c>
      <c r="J15" s="491">
        <v>40</v>
      </c>
      <c r="K15" s="240"/>
      <c r="L15" s="82"/>
      <c r="M15" s="82"/>
      <c r="N15" s="82"/>
      <c r="O15" s="82"/>
      <c r="P15" s="82"/>
    </row>
    <row r="16" spans="1:16" ht="19.5" customHeight="1" x14ac:dyDescent="0.2">
      <c r="A16" s="531"/>
      <c r="B16" s="42" t="s">
        <v>26</v>
      </c>
      <c r="C16" s="95" t="s">
        <v>25</v>
      </c>
      <c r="D16" s="96">
        <v>0.41666666666666669</v>
      </c>
      <c r="E16" s="96">
        <v>0.5</v>
      </c>
      <c r="F16" s="295"/>
      <c r="G16" s="258"/>
      <c r="H16" s="506"/>
      <c r="I16" s="506"/>
      <c r="J16" s="450"/>
      <c r="K16" s="240"/>
      <c r="L16" s="82"/>
      <c r="M16" s="82"/>
      <c r="N16" s="82"/>
      <c r="O16" s="82"/>
      <c r="P16" s="82"/>
    </row>
    <row r="17" spans="1:16" ht="19.5" customHeight="1" x14ac:dyDescent="0.2">
      <c r="A17" s="99"/>
      <c r="B17" s="84"/>
      <c r="C17" s="85"/>
      <c r="D17" s="85"/>
      <c r="E17" s="85"/>
      <c r="F17" s="259"/>
      <c r="G17" s="259"/>
      <c r="H17" s="100"/>
      <c r="I17" s="100"/>
      <c r="J17" s="100"/>
      <c r="K17" s="117"/>
      <c r="L17" s="82"/>
      <c r="M17" s="82"/>
      <c r="N17" s="82"/>
      <c r="O17" s="82"/>
      <c r="P17" s="82"/>
    </row>
    <row r="18" spans="1:16" ht="19.5" customHeight="1" x14ac:dyDescent="0.2">
      <c r="A18" s="86" t="s">
        <v>6</v>
      </c>
      <c r="B18" s="87">
        <v>2018</v>
      </c>
      <c r="C18" s="86" t="s">
        <v>7</v>
      </c>
      <c r="D18" s="88" t="s">
        <v>29</v>
      </c>
      <c r="E18" s="86" t="s">
        <v>9</v>
      </c>
      <c r="F18" s="291" t="s">
        <v>30</v>
      </c>
      <c r="G18" s="89" t="s">
        <v>11</v>
      </c>
      <c r="H18" s="90">
        <v>4</v>
      </c>
      <c r="I18" s="91" t="s">
        <v>12</v>
      </c>
      <c r="J18" s="90" t="s">
        <v>13</v>
      </c>
      <c r="K18" s="291"/>
      <c r="L18" s="82"/>
      <c r="M18" s="82"/>
      <c r="N18" s="82"/>
      <c r="O18" s="82"/>
      <c r="P18" s="82"/>
    </row>
    <row r="19" spans="1:16" ht="19.5" customHeight="1" x14ac:dyDescent="0.2">
      <c r="A19" s="86" t="s">
        <v>6</v>
      </c>
      <c r="B19" s="87">
        <v>2023</v>
      </c>
      <c r="C19" s="86" t="s">
        <v>7</v>
      </c>
      <c r="D19" s="88" t="s">
        <v>31</v>
      </c>
      <c r="E19" s="86" t="s">
        <v>9</v>
      </c>
      <c r="F19" s="291" t="s">
        <v>30</v>
      </c>
      <c r="G19" s="89" t="s">
        <v>11</v>
      </c>
      <c r="H19" s="90">
        <v>4</v>
      </c>
      <c r="I19" s="91" t="s">
        <v>12</v>
      </c>
      <c r="J19" s="90" t="s">
        <v>13</v>
      </c>
      <c r="K19" s="291"/>
      <c r="L19" s="82"/>
      <c r="M19" s="82"/>
      <c r="N19" s="82"/>
      <c r="O19" s="82"/>
      <c r="P19" s="82"/>
    </row>
    <row r="20" spans="1:16" ht="19.5" customHeight="1" x14ac:dyDescent="0.2">
      <c r="A20" s="101" t="s">
        <v>16</v>
      </c>
      <c r="B20" s="102" t="s">
        <v>17</v>
      </c>
      <c r="C20" s="102" t="s">
        <v>18</v>
      </c>
      <c r="D20" s="508" t="s">
        <v>19</v>
      </c>
      <c r="E20" s="455"/>
      <c r="F20" s="94" t="s">
        <v>20</v>
      </c>
      <c r="G20" s="94"/>
      <c r="H20" s="93" t="s">
        <v>21</v>
      </c>
      <c r="I20" s="93" t="s">
        <v>22</v>
      </c>
      <c r="J20" s="94" t="s">
        <v>23</v>
      </c>
      <c r="K20" s="548"/>
      <c r="L20" s="82"/>
      <c r="M20" s="82"/>
      <c r="N20" s="82"/>
      <c r="O20" s="82"/>
      <c r="P20" s="82"/>
    </row>
    <row r="21" spans="1:16" ht="19.5" customHeight="1" x14ac:dyDescent="0.2">
      <c r="A21" s="5" t="s">
        <v>24</v>
      </c>
      <c r="B21" s="103" t="s">
        <v>17</v>
      </c>
      <c r="C21" s="104" t="s">
        <v>32</v>
      </c>
      <c r="D21" s="105">
        <v>0.33333333333333331</v>
      </c>
      <c r="E21" s="106">
        <v>0.41666666666666669</v>
      </c>
      <c r="F21" s="264"/>
      <c r="G21" s="260"/>
      <c r="H21" s="449">
        <v>5</v>
      </c>
      <c r="I21" s="440">
        <v>35</v>
      </c>
      <c r="J21" s="451">
        <f>SUM(H21:I21)</f>
        <v>40</v>
      </c>
      <c r="K21" s="549"/>
      <c r="L21" s="82"/>
      <c r="M21" s="82"/>
      <c r="N21" s="82"/>
      <c r="O21" s="82"/>
      <c r="P21" s="82"/>
    </row>
    <row r="22" spans="1:16" ht="19.5" customHeight="1" x14ac:dyDescent="0.2">
      <c r="A22" s="7"/>
      <c r="B22" s="103" t="s">
        <v>26</v>
      </c>
      <c r="C22" s="104" t="s">
        <v>32</v>
      </c>
      <c r="D22" s="107">
        <v>0.41666666666666669</v>
      </c>
      <c r="E22" s="108">
        <v>0.5</v>
      </c>
      <c r="F22" s="264"/>
      <c r="G22" s="261"/>
      <c r="H22" s="450"/>
      <c r="I22" s="450"/>
      <c r="J22" s="450"/>
      <c r="K22" s="453"/>
      <c r="L22" s="82"/>
      <c r="M22" s="82"/>
      <c r="N22" s="82"/>
      <c r="O22" s="82"/>
      <c r="P22" s="82"/>
    </row>
    <row r="23" spans="1:16" ht="19.5" customHeight="1" x14ac:dyDescent="0.2">
      <c r="A23" s="505" t="s">
        <v>27</v>
      </c>
      <c r="B23" s="7" t="s">
        <v>17</v>
      </c>
      <c r="C23" s="104" t="s">
        <v>32</v>
      </c>
      <c r="D23" s="105">
        <v>0.33333333333333331</v>
      </c>
      <c r="E23" s="106">
        <v>0.41666666666666669</v>
      </c>
      <c r="F23" s="306"/>
      <c r="G23" s="261"/>
      <c r="H23" s="449">
        <v>5</v>
      </c>
      <c r="I23" s="440">
        <v>35</v>
      </c>
      <c r="J23" s="451">
        <f>SUM(H23:I23)</f>
        <v>40</v>
      </c>
      <c r="K23" s="292"/>
      <c r="L23" s="82"/>
      <c r="M23" s="82"/>
      <c r="N23" s="82"/>
      <c r="O23" s="82"/>
      <c r="P23" s="82"/>
    </row>
    <row r="24" spans="1:16" ht="19.5" customHeight="1" x14ac:dyDescent="0.2">
      <c r="A24" s="506"/>
      <c r="B24" s="7" t="s">
        <v>26</v>
      </c>
      <c r="C24" s="104" t="s">
        <v>32</v>
      </c>
      <c r="D24" s="107">
        <v>0.41666666666666669</v>
      </c>
      <c r="E24" s="108">
        <v>0.5</v>
      </c>
      <c r="F24" s="307"/>
      <c r="G24" s="261"/>
      <c r="H24" s="450"/>
      <c r="I24" s="450"/>
      <c r="J24" s="450"/>
      <c r="K24" s="292"/>
      <c r="L24" s="82"/>
      <c r="M24" s="82"/>
      <c r="N24" s="82"/>
      <c r="O24" s="82"/>
      <c r="P24" s="82"/>
    </row>
    <row r="25" spans="1:16" ht="19.5" customHeight="1" x14ac:dyDescent="0.2">
      <c r="A25" s="505" t="s">
        <v>28</v>
      </c>
      <c r="B25" s="7" t="s">
        <v>17</v>
      </c>
      <c r="C25" s="104" t="s">
        <v>32</v>
      </c>
      <c r="D25" s="105">
        <v>0.33333333333333331</v>
      </c>
      <c r="E25" s="106">
        <v>0.41666666666666669</v>
      </c>
      <c r="F25" s="307"/>
      <c r="G25" s="261"/>
      <c r="H25" s="449">
        <v>5</v>
      </c>
      <c r="I25" s="440">
        <v>35</v>
      </c>
      <c r="J25" s="451">
        <f>SUM(H25:I25)</f>
        <v>40</v>
      </c>
      <c r="K25" s="292"/>
      <c r="L25" s="82"/>
      <c r="M25" s="82"/>
      <c r="N25" s="82"/>
      <c r="O25" s="82"/>
      <c r="P25" s="82"/>
    </row>
    <row r="26" spans="1:16" ht="19.5" customHeight="1" x14ac:dyDescent="0.2">
      <c r="A26" s="531"/>
      <c r="B26" s="7" t="s">
        <v>26</v>
      </c>
      <c r="C26" s="104" t="s">
        <v>32</v>
      </c>
      <c r="D26" s="107">
        <v>0.41666666666666669</v>
      </c>
      <c r="E26" s="108">
        <v>0.5</v>
      </c>
      <c r="F26" s="307"/>
      <c r="G26" s="261"/>
      <c r="H26" s="450"/>
      <c r="I26" s="450"/>
      <c r="J26" s="450"/>
      <c r="K26" s="292"/>
      <c r="L26" s="82"/>
      <c r="M26" s="82"/>
      <c r="N26" s="82"/>
      <c r="O26" s="82"/>
      <c r="P26" s="82"/>
    </row>
    <row r="27" spans="1:16" ht="19.5" customHeight="1" x14ac:dyDescent="0.2">
      <c r="A27" s="99"/>
      <c r="B27" s="84"/>
      <c r="C27" s="85"/>
      <c r="D27" s="85"/>
      <c r="E27" s="85"/>
      <c r="F27" s="259"/>
      <c r="G27" s="255"/>
      <c r="H27" s="85"/>
      <c r="I27" s="85"/>
      <c r="J27" s="85"/>
      <c r="K27" s="117"/>
      <c r="L27" s="82"/>
      <c r="M27" s="82"/>
      <c r="N27" s="82"/>
      <c r="O27" s="82"/>
      <c r="P27" s="82"/>
    </row>
    <row r="28" spans="1:16" ht="19.5" customHeight="1" x14ac:dyDescent="0.2">
      <c r="A28" s="86" t="s">
        <v>6</v>
      </c>
      <c r="B28" s="87">
        <v>2018</v>
      </c>
      <c r="C28" s="86" t="s">
        <v>7</v>
      </c>
      <c r="D28" s="88" t="s">
        <v>33</v>
      </c>
      <c r="E28" s="86" t="s">
        <v>9</v>
      </c>
      <c r="F28" s="291" t="s">
        <v>34</v>
      </c>
      <c r="G28" s="89" t="s">
        <v>11</v>
      </c>
      <c r="H28" s="90">
        <v>2</v>
      </c>
      <c r="I28" s="91" t="s">
        <v>12</v>
      </c>
      <c r="J28" s="90" t="s">
        <v>13</v>
      </c>
      <c r="K28" s="117"/>
      <c r="L28" s="82"/>
      <c r="M28" s="82"/>
      <c r="N28" s="82"/>
      <c r="O28" s="82"/>
      <c r="P28" s="82"/>
    </row>
    <row r="29" spans="1:16" ht="19.5" customHeight="1" x14ac:dyDescent="0.2">
      <c r="A29" s="86" t="s">
        <v>6</v>
      </c>
      <c r="B29" s="87">
        <v>2023</v>
      </c>
      <c r="C29" s="86" t="s">
        <v>7</v>
      </c>
      <c r="D29" s="88" t="s">
        <v>35</v>
      </c>
      <c r="E29" s="86" t="s">
        <v>9</v>
      </c>
      <c r="F29" s="291" t="s">
        <v>34</v>
      </c>
      <c r="G29" s="89" t="s">
        <v>11</v>
      </c>
      <c r="H29" s="90">
        <v>2</v>
      </c>
      <c r="I29" s="91" t="s">
        <v>12</v>
      </c>
      <c r="J29" s="90" t="s">
        <v>13</v>
      </c>
      <c r="K29" s="117"/>
      <c r="L29" s="82"/>
      <c r="M29" s="82"/>
      <c r="N29" s="82"/>
      <c r="O29" s="82"/>
      <c r="P29" s="82"/>
    </row>
    <row r="30" spans="1:16" ht="19.5" customHeight="1" x14ac:dyDescent="0.2">
      <c r="A30" s="101" t="s">
        <v>16</v>
      </c>
      <c r="B30" s="102" t="s">
        <v>17</v>
      </c>
      <c r="C30" s="102" t="s">
        <v>18</v>
      </c>
      <c r="D30" s="508" t="s">
        <v>19</v>
      </c>
      <c r="E30" s="455"/>
      <c r="F30" s="94" t="s">
        <v>20</v>
      </c>
      <c r="G30" s="94"/>
      <c r="H30" s="93" t="s">
        <v>21</v>
      </c>
      <c r="I30" s="93" t="s">
        <v>22</v>
      </c>
      <c r="J30" s="94" t="s">
        <v>23</v>
      </c>
      <c r="K30" s="117"/>
      <c r="L30" s="82"/>
      <c r="M30" s="82"/>
      <c r="N30" s="82"/>
      <c r="O30" s="82"/>
      <c r="P30" s="82"/>
    </row>
    <row r="31" spans="1:16" ht="19.5" customHeight="1" x14ac:dyDescent="0.2">
      <c r="A31" s="504" t="s">
        <v>24</v>
      </c>
      <c r="B31" s="103" t="s">
        <v>17</v>
      </c>
      <c r="C31" s="104" t="s">
        <v>36</v>
      </c>
      <c r="D31" s="109">
        <v>0.41666666666666669</v>
      </c>
      <c r="E31" s="109">
        <v>0.45833333333333331</v>
      </c>
      <c r="F31" s="264"/>
      <c r="G31" s="129"/>
      <c r="H31" s="449">
        <v>3</v>
      </c>
      <c r="I31" s="440">
        <v>17</v>
      </c>
      <c r="J31" s="451">
        <v>20</v>
      </c>
      <c r="K31" s="452"/>
      <c r="L31" s="82"/>
      <c r="M31" s="82"/>
      <c r="N31" s="82"/>
      <c r="O31" s="82"/>
      <c r="P31" s="82"/>
    </row>
    <row r="32" spans="1:16" ht="19.5" customHeight="1" x14ac:dyDescent="0.2">
      <c r="A32" s="444"/>
      <c r="B32" s="103" t="s">
        <v>37</v>
      </c>
      <c r="C32" s="104" t="s">
        <v>36</v>
      </c>
      <c r="D32" s="109">
        <v>0.45833333333333331</v>
      </c>
      <c r="E32" s="109">
        <v>0.54166666666666663</v>
      </c>
      <c r="F32" s="264"/>
      <c r="G32" s="129"/>
      <c r="H32" s="450"/>
      <c r="I32" s="450"/>
      <c r="J32" s="450"/>
      <c r="K32" s="493"/>
      <c r="L32" s="82"/>
      <c r="M32" s="82"/>
      <c r="N32" s="82"/>
      <c r="O32" s="82"/>
      <c r="P32" s="82"/>
    </row>
    <row r="33" spans="1:26" ht="19.5" customHeight="1" x14ac:dyDescent="0.2">
      <c r="A33" s="464" t="s">
        <v>27</v>
      </c>
      <c r="B33" s="103" t="s">
        <v>17</v>
      </c>
      <c r="C33" s="104" t="s">
        <v>36</v>
      </c>
      <c r="D33" s="109">
        <v>0.41666666666666669</v>
      </c>
      <c r="E33" s="109">
        <v>0.45833333333333331</v>
      </c>
      <c r="F33" s="308"/>
      <c r="G33" s="262"/>
      <c r="H33" s="479">
        <v>3</v>
      </c>
      <c r="I33" s="509">
        <v>17</v>
      </c>
      <c r="J33" s="510">
        <v>20</v>
      </c>
      <c r="K33" s="527"/>
      <c r="L33" s="82"/>
      <c r="M33" s="82"/>
      <c r="N33" s="82"/>
      <c r="O33" s="82"/>
      <c r="P33" s="82"/>
    </row>
    <row r="34" spans="1:26" ht="19.5" customHeight="1" x14ac:dyDescent="0.2">
      <c r="A34" s="444"/>
      <c r="B34" s="103" t="s">
        <v>37</v>
      </c>
      <c r="C34" s="104" t="s">
        <v>36</v>
      </c>
      <c r="D34" s="109">
        <v>0.45833333333333331</v>
      </c>
      <c r="E34" s="109">
        <v>0.54166666666666663</v>
      </c>
      <c r="F34" s="308"/>
      <c r="G34" s="262"/>
      <c r="H34" s="444"/>
      <c r="I34" s="444"/>
      <c r="J34" s="511"/>
      <c r="K34" s="528"/>
      <c r="L34" s="82"/>
      <c r="M34" s="82"/>
      <c r="N34" s="82"/>
      <c r="O34" s="82"/>
      <c r="P34" s="82"/>
    </row>
    <row r="35" spans="1:26" ht="19.5" customHeight="1" x14ac:dyDescent="0.2">
      <c r="A35" s="464" t="s">
        <v>28</v>
      </c>
      <c r="B35" s="103" t="s">
        <v>17</v>
      </c>
      <c r="C35" s="104" t="s">
        <v>36</v>
      </c>
      <c r="D35" s="109">
        <v>0.41666666666666669</v>
      </c>
      <c r="E35" s="109">
        <v>0.45833333333333331</v>
      </c>
      <c r="F35" s="308"/>
      <c r="G35" s="262"/>
      <c r="H35" s="479">
        <v>3</v>
      </c>
      <c r="I35" s="509">
        <v>17</v>
      </c>
      <c r="J35" s="510">
        <v>20</v>
      </c>
      <c r="K35" s="527"/>
      <c r="L35" s="82"/>
      <c r="M35" s="82"/>
      <c r="N35" s="82"/>
      <c r="O35" s="82"/>
      <c r="P35" s="82"/>
    </row>
    <row r="36" spans="1:26" ht="19.5" customHeight="1" x14ac:dyDescent="0.2">
      <c r="A36" s="444"/>
      <c r="B36" s="103" t="s">
        <v>37</v>
      </c>
      <c r="C36" s="104" t="s">
        <v>36</v>
      </c>
      <c r="D36" s="109">
        <v>0.45833333333333331</v>
      </c>
      <c r="E36" s="109">
        <v>0.54166666666666663</v>
      </c>
      <c r="F36" s="308"/>
      <c r="G36" s="262"/>
      <c r="H36" s="444"/>
      <c r="I36" s="444"/>
      <c r="J36" s="511"/>
      <c r="K36" s="528"/>
      <c r="L36" s="82"/>
      <c r="M36" s="82"/>
      <c r="N36" s="82"/>
      <c r="O36" s="82"/>
      <c r="P36" s="82"/>
    </row>
    <row r="37" spans="1:26" ht="19.5" customHeight="1" x14ac:dyDescent="0.2">
      <c r="A37" s="464" t="s">
        <v>38</v>
      </c>
      <c r="B37" s="103" t="s">
        <v>17</v>
      </c>
      <c r="C37" s="104" t="s">
        <v>36</v>
      </c>
      <c r="D37" s="109">
        <v>0.41666666666666669</v>
      </c>
      <c r="E37" s="109">
        <v>0.45833333333333331</v>
      </c>
      <c r="F37" s="308"/>
      <c r="G37" s="262"/>
      <c r="H37" s="479">
        <v>3</v>
      </c>
      <c r="I37" s="509">
        <v>17</v>
      </c>
      <c r="J37" s="510">
        <v>20</v>
      </c>
      <c r="K37" s="527"/>
      <c r="L37" s="82"/>
      <c r="M37" s="82"/>
      <c r="N37" s="82"/>
      <c r="O37" s="82"/>
      <c r="P37" s="82"/>
    </row>
    <row r="38" spans="1:26" ht="19.5" customHeight="1" x14ac:dyDescent="0.2">
      <c r="A38" s="444"/>
      <c r="B38" s="103" t="s">
        <v>37</v>
      </c>
      <c r="C38" s="104" t="s">
        <v>36</v>
      </c>
      <c r="D38" s="109">
        <v>0.45833333333333331</v>
      </c>
      <c r="E38" s="109">
        <v>0.54166666666666663</v>
      </c>
      <c r="F38" s="308"/>
      <c r="G38" s="262"/>
      <c r="H38" s="444"/>
      <c r="I38" s="444"/>
      <c r="J38" s="511"/>
      <c r="K38" s="528"/>
      <c r="L38" s="82"/>
      <c r="M38" s="82"/>
      <c r="N38" s="82"/>
      <c r="O38" s="82"/>
      <c r="P38" s="82"/>
    </row>
    <row r="39" spans="1:26" ht="19.5" customHeight="1" x14ac:dyDescent="0.2">
      <c r="A39" s="464" t="s">
        <v>39</v>
      </c>
      <c r="B39" s="103" t="s">
        <v>17</v>
      </c>
      <c r="C39" s="104" t="s">
        <v>36</v>
      </c>
      <c r="D39" s="109">
        <v>0.41666666666666669</v>
      </c>
      <c r="E39" s="109">
        <v>0.45833333333333331</v>
      </c>
      <c r="F39" s="308"/>
      <c r="G39" s="262"/>
      <c r="H39" s="479">
        <v>3</v>
      </c>
      <c r="I39" s="509">
        <v>17</v>
      </c>
      <c r="J39" s="510">
        <v>20</v>
      </c>
      <c r="K39" s="527"/>
      <c r="L39" s="82"/>
      <c r="M39" s="82"/>
      <c r="N39" s="82"/>
      <c r="O39" s="82"/>
      <c r="P39" s="82"/>
    </row>
    <row r="40" spans="1:26" ht="19.5" customHeight="1" x14ac:dyDescent="0.2">
      <c r="A40" s="444"/>
      <c r="B40" s="103" t="s">
        <v>37</v>
      </c>
      <c r="C40" s="104" t="s">
        <v>36</v>
      </c>
      <c r="D40" s="109">
        <v>0.45833333333333331</v>
      </c>
      <c r="E40" s="109">
        <v>0.54166666666666663</v>
      </c>
      <c r="F40" s="308"/>
      <c r="G40" s="262"/>
      <c r="H40" s="444"/>
      <c r="I40" s="444"/>
      <c r="J40" s="511"/>
      <c r="K40" s="528"/>
      <c r="L40" s="82"/>
      <c r="M40" s="82"/>
      <c r="N40" s="82"/>
      <c r="O40" s="82"/>
      <c r="P40" s="82"/>
    </row>
    <row r="41" spans="1:26" ht="19.5" customHeight="1" x14ac:dyDescent="0.2">
      <c r="A41" s="464" t="s">
        <v>40</v>
      </c>
      <c r="B41" s="103" t="s">
        <v>17</v>
      </c>
      <c r="C41" s="104" t="s">
        <v>36</v>
      </c>
      <c r="D41" s="109">
        <v>0.41666666666666669</v>
      </c>
      <c r="E41" s="109">
        <v>0.45833333333333331</v>
      </c>
      <c r="F41" s="308"/>
      <c r="G41" s="262"/>
      <c r="H41" s="479">
        <v>3</v>
      </c>
      <c r="I41" s="509">
        <v>17</v>
      </c>
      <c r="J41" s="510">
        <v>20</v>
      </c>
      <c r="K41" s="527"/>
      <c r="L41" s="82"/>
      <c r="M41" s="82"/>
      <c r="N41" s="82"/>
      <c r="O41" s="82"/>
      <c r="P41" s="82"/>
    </row>
    <row r="42" spans="1:26" ht="19.5" customHeight="1" x14ac:dyDescent="0.2">
      <c r="A42" s="444"/>
      <c r="B42" s="103" t="s">
        <v>37</v>
      </c>
      <c r="C42" s="104" t="s">
        <v>36</v>
      </c>
      <c r="D42" s="109">
        <v>0.45833333333333331</v>
      </c>
      <c r="E42" s="109">
        <v>0.54166666666666663</v>
      </c>
      <c r="F42" s="308"/>
      <c r="G42" s="262"/>
      <c r="H42" s="444"/>
      <c r="I42" s="444"/>
      <c r="J42" s="511"/>
      <c r="K42" s="528"/>
      <c r="L42" s="82"/>
      <c r="M42" s="82"/>
      <c r="N42" s="82"/>
      <c r="O42" s="82"/>
      <c r="P42" s="82"/>
    </row>
    <row r="43" spans="1:26" ht="19.5" customHeight="1" x14ac:dyDescent="0.2">
      <c r="A43" s="99"/>
      <c r="B43" s="84"/>
      <c r="C43" s="85"/>
      <c r="D43" s="85"/>
      <c r="E43" s="85"/>
      <c r="F43" s="259"/>
      <c r="G43" s="255"/>
      <c r="H43" s="85"/>
      <c r="I43" s="85"/>
      <c r="J43" s="85"/>
      <c r="K43" s="117"/>
      <c r="L43" s="82"/>
      <c r="M43" s="82"/>
      <c r="N43" s="82"/>
      <c r="O43" s="82"/>
      <c r="P43" s="82"/>
    </row>
    <row r="44" spans="1:26" ht="19.5" customHeight="1" x14ac:dyDescent="0.2">
      <c r="A44" s="86" t="s">
        <v>6</v>
      </c>
      <c r="B44" s="87">
        <v>2018</v>
      </c>
      <c r="C44" s="86" t="s">
        <v>7</v>
      </c>
      <c r="D44" s="88" t="s">
        <v>41</v>
      </c>
      <c r="E44" s="86" t="s">
        <v>9</v>
      </c>
      <c r="F44" s="291" t="s">
        <v>42</v>
      </c>
      <c r="G44" s="89" t="s">
        <v>11</v>
      </c>
      <c r="H44" s="90">
        <v>3</v>
      </c>
      <c r="I44" s="91" t="s">
        <v>12</v>
      </c>
      <c r="J44" s="90" t="s">
        <v>13</v>
      </c>
      <c r="K44" s="291"/>
      <c r="L44" s="110"/>
      <c r="M44" s="110"/>
      <c r="N44" s="110"/>
      <c r="O44" s="110"/>
      <c r="P44" s="110"/>
      <c r="Q44" s="111"/>
      <c r="R44" s="111"/>
      <c r="S44" s="111"/>
      <c r="T44" s="111"/>
      <c r="U44" s="111"/>
      <c r="V44" s="111"/>
      <c r="W44" s="111"/>
      <c r="X44" s="111"/>
      <c r="Y44" s="111"/>
      <c r="Z44" s="111"/>
    </row>
    <row r="45" spans="1:26" ht="19.5" customHeight="1" x14ac:dyDescent="0.2">
      <c r="A45" s="86" t="s">
        <v>6</v>
      </c>
      <c r="B45" s="87">
        <v>2023</v>
      </c>
      <c r="C45" s="86" t="s">
        <v>7</v>
      </c>
      <c r="D45" s="88" t="s">
        <v>43</v>
      </c>
      <c r="E45" s="86" t="s">
        <v>9</v>
      </c>
      <c r="F45" s="291" t="s">
        <v>42</v>
      </c>
      <c r="G45" s="89" t="s">
        <v>11</v>
      </c>
      <c r="H45" s="90">
        <v>3</v>
      </c>
      <c r="I45" s="91" t="s">
        <v>12</v>
      </c>
      <c r="J45" s="90" t="s">
        <v>13</v>
      </c>
      <c r="K45" s="382"/>
      <c r="L45" s="110"/>
      <c r="M45" s="110"/>
      <c r="N45" s="110"/>
      <c r="O45" s="110"/>
      <c r="P45" s="110"/>
      <c r="Q45" s="111"/>
      <c r="R45" s="111"/>
      <c r="S45" s="111"/>
      <c r="T45" s="111"/>
      <c r="U45" s="111"/>
      <c r="V45" s="111"/>
      <c r="W45" s="111"/>
      <c r="X45" s="111"/>
      <c r="Y45" s="111"/>
      <c r="Z45" s="111"/>
    </row>
    <row r="46" spans="1:26" ht="19.5" customHeight="1" x14ac:dyDescent="0.2">
      <c r="A46" s="101" t="s">
        <v>16</v>
      </c>
      <c r="B46" s="102" t="s">
        <v>17</v>
      </c>
      <c r="C46" s="102" t="s">
        <v>18</v>
      </c>
      <c r="D46" s="508" t="s">
        <v>19</v>
      </c>
      <c r="E46" s="455"/>
      <c r="F46" s="94" t="s">
        <v>20</v>
      </c>
      <c r="G46" s="94"/>
      <c r="H46" s="93" t="s">
        <v>21</v>
      </c>
      <c r="I46" s="93" t="s">
        <v>22</v>
      </c>
      <c r="J46" s="178" t="s">
        <v>23</v>
      </c>
      <c r="K46" s="381"/>
      <c r="L46" s="110"/>
      <c r="M46" s="110"/>
      <c r="N46" s="110"/>
      <c r="O46" s="110"/>
      <c r="P46" s="110"/>
      <c r="Q46" s="111"/>
      <c r="R46" s="111"/>
      <c r="S46" s="111"/>
      <c r="T46" s="111"/>
      <c r="U46" s="111"/>
      <c r="V46" s="111"/>
      <c r="W46" s="111"/>
      <c r="X46" s="111"/>
      <c r="Y46" s="111"/>
      <c r="Z46" s="111"/>
    </row>
    <row r="47" spans="1:26" ht="19.5" customHeight="1" x14ac:dyDescent="0.2">
      <c r="A47" s="504" t="s">
        <v>24</v>
      </c>
      <c r="B47" s="103" t="s">
        <v>17</v>
      </c>
      <c r="C47" s="104" t="s">
        <v>44</v>
      </c>
      <c r="D47" s="105">
        <v>0.33333333333333331</v>
      </c>
      <c r="E47" s="106">
        <v>0.41666666666666669</v>
      </c>
      <c r="F47" s="264"/>
      <c r="G47" s="260"/>
      <c r="H47" s="449">
        <v>5</v>
      </c>
      <c r="I47" s="440">
        <v>35</v>
      </c>
      <c r="J47" s="507">
        <f>SUM(H47:I47)</f>
        <v>40</v>
      </c>
      <c r="K47" s="544"/>
      <c r="L47" s="110"/>
      <c r="M47" s="110"/>
      <c r="N47" s="110"/>
      <c r="O47" s="110"/>
      <c r="P47" s="110"/>
      <c r="Q47" s="111"/>
      <c r="R47" s="111"/>
      <c r="S47" s="111"/>
      <c r="T47" s="111"/>
      <c r="U47" s="111"/>
      <c r="V47" s="111"/>
      <c r="W47" s="111"/>
      <c r="X47" s="111"/>
      <c r="Y47" s="111"/>
      <c r="Z47" s="111"/>
    </row>
    <row r="48" spans="1:26" ht="19.5" customHeight="1" x14ac:dyDescent="0.2">
      <c r="A48" s="444"/>
      <c r="B48" s="103" t="s">
        <v>26</v>
      </c>
      <c r="C48" s="104" t="s">
        <v>44</v>
      </c>
      <c r="D48" s="107">
        <v>0.41666666666666669</v>
      </c>
      <c r="E48" s="108">
        <v>0.5</v>
      </c>
      <c r="F48" s="264"/>
      <c r="G48" s="261"/>
      <c r="H48" s="450"/>
      <c r="I48" s="450"/>
      <c r="J48" s="503"/>
      <c r="K48" s="545"/>
      <c r="L48" s="110"/>
      <c r="M48" s="110"/>
      <c r="N48" s="110"/>
      <c r="O48" s="110"/>
      <c r="P48" s="110"/>
      <c r="Q48" s="111"/>
      <c r="R48" s="111"/>
      <c r="S48" s="111"/>
      <c r="T48" s="111"/>
      <c r="U48" s="111"/>
      <c r="V48" s="111"/>
      <c r="W48" s="111"/>
      <c r="X48" s="111"/>
      <c r="Y48" s="111"/>
      <c r="Z48" s="111"/>
    </row>
    <row r="49" spans="1:26" ht="19.5" customHeight="1" x14ac:dyDescent="0.2">
      <c r="A49" s="505" t="s">
        <v>27</v>
      </c>
      <c r="B49" s="7" t="s">
        <v>17</v>
      </c>
      <c r="C49" s="104" t="s">
        <v>44</v>
      </c>
      <c r="D49" s="105">
        <v>0.33333333333333331</v>
      </c>
      <c r="E49" s="106">
        <v>0.41666666666666669</v>
      </c>
      <c r="F49" s="306"/>
      <c r="G49" s="261"/>
      <c r="H49" s="449">
        <v>5</v>
      </c>
      <c r="I49" s="440">
        <v>35</v>
      </c>
      <c r="J49" s="507">
        <f>SUM(H49:I49)</f>
        <v>40</v>
      </c>
      <c r="K49" s="527"/>
      <c r="L49" s="110"/>
      <c r="M49" s="110"/>
      <c r="N49" s="110"/>
      <c r="O49" s="110"/>
      <c r="P49" s="110"/>
      <c r="Q49" s="111"/>
      <c r="R49" s="111"/>
      <c r="S49" s="111"/>
      <c r="T49" s="111"/>
      <c r="U49" s="111"/>
      <c r="V49" s="111"/>
      <c r="W49" s="111"/>
      <c r="X49" s="111"/>
      <c r="Y49" s="111"/>
      <c r="Z49" s="111"/>
    </row>
    <row r="50" spans="1:26" ht="19.5" customHeight="1" x14ac:dyDescent="0.2">
      <c r="A50" s="506"/>
      <c r="B50" s="7" t="s">
        <v>26</v>
      </c>
      <c r="C50" s="104" t="s">
        <v>44</v>
      </c>
      <c r="D50" s="107">
        <v>0.41666666666666669</v>
      </c>
      <c r="E50" s="108">
        <v>0.5</v>
      </c>
      <c r="F50" s="307"/>
      <c r="G50" s="261"/>
      <c r="H50" s="450"/>
      <c r="I50" s="450"/>
      <c r="J50" s="503"/>
      <c r="K50" s="528"/>
      <c r="L50" s="110"/>
      <c r="M50" s="110"/>
      <c r="N50" s="110"/>
      <c r="O50" s="110"/>
      <c r="P50" s="110"/>
      <c r="Q50" s="111"/>
      <c r="R50" s="111"/>
      <c r="S50" s="111"/>
      <c r="T50" s="111"/>
      <c r="U50" s="111"/>
      <c r="V50" s="111"/>
      <c r="W50" s="111"/>
      <c r="X50" s="111"/>
      <c r="Y50" s="111"/>
      <c r="Z50" s="111"/>
    </row>
    <row r="51" spans="1:26" ht="19.5" customHeight="1" x14ac:dyDescent="0.2">
      <c r="A51" s="505" t="s">
        <v>28</v>
      </c>
      <c r="B51" s="7" t="s">
        <v>17</v>
      </c>
      <c r="C51" s="104" t="s">
        <v>44</v>
      </c>
      <c r="D51" s="105">
        <v>0.33333333333333331</v>
      </c>
      <c r="E51" s="106">
        <v>0.41666666666666669</v>
      </c>
      <c r="F51" s="307"/>
      <c r="G51" s="261"/>
      <c r="H51" s="449">
        <v>5</v>
      </c>
      <c r="I51" s="440">
        <v>35</v>
      </c>
      <c r="J51" s="507">
        <f>SUM(H51:I51)</f>
        <v>40</v>
      </c>
      <c r="K51" s="527"/>
      <c r="L51" s="110"/>
      <c r="M51" s="110"/>
      <c r="N51" s="110"/>
      <c r="O51" s="110"/>
      <c r="P51" s="110"/>
      <c r="Q51" s="111"/>
      <c r="R51" s="111"/>
      <c r="S51" s="111"/>
      <c r="T51" s="111"/>
      <c r="U51" s="111"/>
      <c r="V51" s="111"/>
      <c r="W51" s="111"/>
      <c r="X51" s="111"/>
      <c r="Y51" s="111"/>
      <c r="Z51" s="111"/>
    </row>
    <row r="52" spans="1:26" ht="19.5" customHeight="1" x14ac:dyDescent="0.2">
      <c r="A52" s="506"/>
      <c r="B52" s="7" t="s">
        <v>26</v>
      </c>
      <c r="C52" s="104" t="s">
        <v>44</v>
      </c>
      <c r="D52" s="107">
        <v>0.41666666666666669</v>
      </c>
      <c r="E52" s="108">
        <v>0.5</v>
      </c>
      <c r="F52" s="307"/>
      <c r="G52" s="261"/>
      <c r="H52" s="450"/>
      <c r="I52" s="450"/>
      <c r="J52" s="503"/>
      <c r="K52" s="528"/>
      <c r="L52" s="110"/>
      <c r="M52" s="110"/>
      <c r="N52" s="110"/>
      <c r="O52" s="110"/>
      <c r="P52" s="110"/>
      <c r="Q52" s="111"/>
      <c r="R52" s="111"/>
      <c r="S52" s="111"/>
      <c r="T52" s="111"/>
      <c r="U52" s="111"/>
      <c r="V52" s="111"/>
      <c r="W52" s="111"/>
      <c r="X52" s="111"/>
      <c r="Y52" s="111"/>
      <c r="Z52" s="111"/>
    </row>
    <row r="53" spans="1:26" ht="19.5" customHeight="1" x14ac:dyDescent="0.2">
      <c r="A53" s="99"/>
      <c r="B53" s="84"/>
      <c r="C53" s="85"/>
      <c r="D53" s="85"/>
      <c r="E53" s="85"/>
      <c r="F53" s="259"/>
      <c r="G53" s="255"/>
      <c r="H53" s="85"/>
      <c r="I53" s="85"/>
      <c r="J53" s="85"/>
      <c r="K53" s="117"/>
      <c r="L53" s="110"/>
      <c r="M53" s="110"/>
      <c r="N53" s="110"/>
      <c r="O53" s="110"/>
      <c r="P53" s="110"/>
      <c r="Q53" s="111"/>
      <c r="R53" s="111"/>
      <c r="S53" s="111"/>
      <c r="T53" s="111"/>
      <c r="U53" s="111"/>
      <c r="V53" s="111"/>
      <c r="W53" s="111"/>
      <c r="X53" s="111"/>
      <c r="Y53" s="111"/>
      <c r="Z53" s="111"/>
    </row>
    <row r="54" spans="1:26" ht="19.5" customHeight="1" x14ac:dyDescent="0.2">
      <c r="A54" s="86" t="s">
        <v>6</v>
      </c>
      <c r="B54" s="87">
        <v>2018</v>
      </c>
      <c r="C54" s="86" t="s">
        <v>7</v>
      </c>
      <c r="D54" s="88" t="s">
        <v>45</v>
      </c>
      <c r="E54" s="86" t="s">
        <v>9</v>
      </c>
      <c r="F54" s="291" t="s">
        <v>46</v>
      </c>
      <c r="G54" s="89" t="s">
        <v>11</v>
      </c>
      <c r="H54" s="90">
        <v>2</v>
      </c>
      <c r="I54" s="91" t="s">
        <v>12</v>
      </c>
      <c r="J54" s="90" t="s">
        <v>13</v>
      </c>
      <c r="K54" s="291"/>
      <c r="L54" s="110"/>
      <c r="M54" s="110"/>
      <c r="N54" s="110"/>
      <c r="O54" s="110"/>
      <c r="P54" s="110"/>
      <c r="Q54" s="111"/>
      <c r="R54" s="111"/>
      <c r="S54" s="111"/>
      <c r="T54" s="111"/>
      <c r="U54" s="111"/>
      <c r="V54" s="111"/>
      <c r="W54" s="111"/>
      <c r="X54" s="111"/>
      <c r="Y54" s="111"/>
      <c r="Z54" s="111"/>
    </row>
    <row r="55" spans="1:26" ht="19.5" customHeight="1" x14ac:dyDescent="0.2">
      <c r="A55" s="86" t="s">
        <v>6</v>
      </c>
      <c r="B55" s="87">
        <v>2023</v>
      </c>
      <c r="C55" s="86" t="s">
        <v>7</v>
      </c>
      <c r="D55" s="88" t="s">
        <v>47</v>
      </c>
      <c r="E55" s="86" t="s">
        <v>9</v>
      </c>
      <c r="F55" s="291" t="s">
        <v>46</v>
      </c>
      <c r="G55" s="89" t="s">
        <v>11</v>
      </c>
      <c r="H55" s="90">
        <v>2</v>
      </c>
      <c r="I55" s="91" t="s">
        <v>12</v>
      </c>
      <c r="J55" s="90" t="s">
        <v>13</v>
      </c>
      <c r="K55" s="291"/>
      <c r="L55" s="110"/>
      <c r="M55" s="110"/>
      <c r="N55" s="110"/>
      <c r="O55" s="110"/>
      <c r="P55" s="110"/>
      <c r="Q55" s="111"/>
      <c r="R55" s="111"/>
      <c r="S55" s="111"/>
      <c r="T55" s="111"/>
      <c r="U55" s="111"/>
      <c r="V55" s="111"/>
      <c r="W55" s="111"/>
      <c r="X55" s="111"/>
      <c r="Y55" s="111"/>
      <c r="Z55" s="111"/>
    </row>
    <row r="56" spans="1:26" ht="19.5" customHeight="1" x14ac:dyDescent="0.2">
      <c r="A56" s="101" t="s">
        <v>16</v>
      </c>
      <c r="B56" s="102" t="s">
        <v>17</v>
      </c>
      <c r="C56" s="102" t="s">
        <v>18</v>
      </c>
      <c r="D56" s="508" t="s">
        <v>19</v>
      </c>
      <c r="E56" s="455"/>
      <c r="F56" s="94" t="s">
        <v>20</v>
      </c>
      <c r="G56" s="94"/>
      <c r="H56" s="93" t="s">
        <v>21</v>
      </c>
      <c r="I56" s="93" t="s">
        <v>22</v>
      </c>
      <c r="J56" s="94" t="s">
        <v>23</v>
      </c>
      <c r="K56" s="352"/>
      <c r="L56" s="110"/>
      <c r="M56" s="110"/>
      <c r="N56" s="110"/>
      <c r="O56" s="110"/>
      <c r="P56" s="110"/>
      <c r="Q56" s="111"/>
      <c r="R56" s="111"/>
      <c r="S56" s="111"/>
      <c r="T56" s="111"/>
      <c r="U56" s="111"/>
      <c r="V56" s="111"/>
      <c r="W56" s="111"/>
      <c r="X56" s="111"/>
      <c r="Y56" s="111"/>
      <c r="Z56" s="111"/>
    </row>
    <row r="57" spans="1:26" ht="19.5" customHeight="1" x14ac:dyDescent="0.2">
      <c r="A57" s="504" t="s">
        <v>24</v>
      </c>
      <c r="B57" s="103" t="s">
        <v>17</v>
      </c>
      <c r="C57" s="104" t="s">
        <v>48</v>
      </c>
      <c r="D57" s="105">
        <v>0.33333333333333331</v>
      </c>
      <c r="E57" s="106">
        <v>0.375</v>
      </c>
      <c r="F57" s="264"/>
      <c r="G57" s="260"/>
      <c r="H57" s="449">
        <v>5</v>
      </c>
      <c r="I57" s="440">
        <v>35</v>
      </c>
      <c r="J57" s="507">
        <f>SUM(H57:I57)</f>
        <v>40</v>
      </c>
      <c r="K57" s="544"/>
      <c r="L57" s="110"/>
      <c r="M57" s="110"/>
      <c r="N57" s="110"/>
      <c r="O57" s="110"/>
      <c r="P57" s="110"/>
      <c r="Q57" s="111"/>
      <c r="R57" s="111"/>
      <c r="S57" s="111"/>
      <c r="T57" s="111"/>
      <c r="U57" s="111"/>
      <c r="V57" s="111"/>
      <c r="W57" s="111"/>
      <c r="X57" s="111"/>
      <c r="Y57" s="111"/>
      <c r="Z57" s="111"/>
    </row>
    <row r="58" spans="1:26" ht="19.5" customHeight="1" x14ac:dyDescent="0.2">
      <c r="A58" s="444"/>
      <c r="B58" s="103" t="s">
        <v>26</v>
      </c>
      <c r="C58" s="104" t="s">
        <v>48</v>
      </c>
      <c r="D58" s="107">
        <v>0.375</v>
      </c>
      <c r="E58" s="108">
        <v>0.45833333333333331</v>
      </c>
      <c r="F58" s="264"/>
      <c r="G58" s="261"/>
      <c r="H58" s="450"/>
      <c r="I58" s="450"/>
      <c r="J58" s="503"/>
      <c r="K58" s="545"/>
      <c r="L58" s="110"/>
      <c r="M58" s="110"/>
      <c r="N58" s="110"/>
      <c r="O58" s="110"/>
      <c r="P58" s="110"/>
      <c r="Q58" s="111"/>
      <c r="R58" s="111"/>
      <c r="S58" s="111"/>
      <c r="T58" s="111"/>
      <c r="U58" s="111"/>
      <c r="V58" s="111"/>
      <c r="W58" s="111"/>
      <c r="X58" s="111"/>
      <c r="Y58" s="111"/>
      <c r="Z58" s="111"/>
    </row>
    <row r="59" spans="1:26" ht="19.5" customHeight="1" x14ac:dyDescent="0.2">
      <c r="A59" s="505" t="s">
        <v>27</v>
      </c>
      <c r="B59" s="7" t="s">
        <v>17</v>
      </c>
      <c r="C59" s="104" t="s">
        <v>48</v>
      </c>
      <c r="D59" s="105">
        <v>0.33333333333333331</v>
      </c>
      <c r="E59" s="106">
        <v>0.375</v>
      </c>
      <c r="F59" s="306"/>
      <c r="G59" s="261"/>
      <c r="H59" s="449">
        <v>5</v>
      </c>
      <c r="I59" s="440">
        <v>35</v>
      </c>
      <c r="J59" s="507">
        <f>SUM(H59:I59)</f>
        <v>40</v>
      </c>
      <c r="K59" s="527"/>
      <c r="L59" s="110"/>
      <c r="M59" s="110"/>
      <c r="N59" s="110"/>
      <c r="O59" s="110"/>
      <c r="P59" s="110"/>
      <c r="Q59" s="111"/>
      <c r="R59" s="111"/>
      <c r="S59" s="111"/>
      <c r="T59" s="111"/>
      <c r="U59" s="111"/>
      <c r="V59" s="111"/>
      <c r="W59" s="111"/>
      <c r="X59" s="111"/>
      <c r="Y59" s="111"/>
      <c r="Z59" s="111"/>
    </row>
    <row r="60" spans="1:26" ht="19.5" customHeight="1" x14ac:dyDescent="0.2">
      <c r="A60" s="506"/>
      <c r="B60" s="7" t="s">
        <v>26</v>
      </c>
      <c r="C60" s="104" t="s">
        <v>48</v>
      </c>
      <c r="D60" s="107">
        <v>0.375</v>
      </c>
      <c r="E60" s="108">
        <v>0.45833333333333331</v>
      </c>
      <c r="F60" s="307"/>
      <c r="G60" s="261"/>
      <c r="H60" s="450"/>
      <c r="I60" s="450"/>
      <c r="J60" s="503"/>
      <c r="K60" s="528"/>
      <c r="L60" s="110"/>
      <c r="M60" s="110"/>
      <c r="N60" s="110"/>
      <c r="O60" s="110"/>
      <c r="P60" s="110"/>
      <c r="Q60" s="111"/>
      <c r="R60" s="111"/>
      <c r="S60" s="111"/>
      <c r="T60" s="111"/>
      <c r="U60" s="111"/>
      <c r="V60" s="111"/>
      <c r="W60" s="111"/>
      <c r="X60" s="111"/>
      <c r="Y60" s="111"/>
      <c r="Z60" s="111"/>
    </row>
    <row r="61" spans="1:26" ht="19.5" customHeight="1" x14ac:dyDescent="0.2">
      <c r="A61" s="505" t="s">
        <v>28</v>
      </c>
      <c r="B61" s="7" t="s">
        <v>17</v>
      </c>
      <c r="C61" s="104" t="s">
        <v>48</v>
      </c>
      <c r="D61" s="105">
        <v>0.33333333333333331</v>
      </c>
      <c r="E61" s="106">
        <v>0.375</v>
      </c>
      <c r="F61" s="307"/>
      <c r="G61" s="261"/>
      <c r="H61" s="449">
        <v>5</v>
      </c>
      <c r="I61" s="440">
        <v>35</v>
      </c>
      <c r="J61" s="507">
        <f>SUM(H61:I61)</f>
        <v>40</v>
      </c>
      <c r="K61" s="527"/>
      <c r="L61" s="110"/>
      <c r="M61" s="110"/>
      <c r="N61" s="110"/>
      <c r="O61" s="110"/>
      <c r="P61" s="110"/>
      <c r="Q61" s="111"/>
      <c r="R61" s="111"/>
      <c r="S61" s="111"/>
      <c r="T61" s="111"/>
      <c r="U61" s="111"/>
      <c r="V61" s="111"/>
      <c r="W61" s="111"/>
      <c r="X61" s="111"/>
      <c r="Y61" s="111"/>
      <c r="Z61" s="111"/>
    </row>
    <row r="62" spans="1:26" ht="19.5" customHeight="1" x14ac:dyDescent="0.2">
      <c r="A62" s="506"/>
      <c r="B62" s="7" t="s">
        <v>26</v>
      </c>
      <c r="C62" s="104" t="s">
        <v>48</v>
      </c>
      <c r="D62" s="107">
        <v>0.375</v>
      </c>
      <c r="E62" s="108">
        <v>0.45833333333333331</v>
      </c>
      <c r="F62" s="307"/>
      <c r="G62" s="261"/>
      <c r="H62" s="450"/>
      <c r="I62" s="450"/>
      <c r="J62" s="503"/>
      <c r="K62" s="528"/>
      <c r="L62" s="110"/>
      <c r="M62" s="110"/>
      <c r="N62" s="110"/>
      <c r="O62" s="110"/>
      <c r="P62" s="110"/>
      <c r="Q62" s="111"/>
      <c r="R62" s="111"/>
      <c r="S62" s="111"/>
      <c r="T62" s="111"/>
      <c r="U62" s="111"/>
      <c r="V62" s="111"/>
      <c r="W62" s="111"/>
      <c r="X62" s="111"/>
      <c r="Y62" s="111"/>
      <c r="Z62" s="111"/>
    </row>
    <row r="63" spans="1:26" ht="19.5" customHeight="1" x14ac:dyDescent="0.2">
      <c r="A63" s="99"/>
      <c r="B63" s="84"/>
      <c r="C63" s="85"/>
      <c r="D63" s="85"/>
      <c r="E63" s="85"/>
      <c r="F63" s="259"/>
      <c r="G63" s="255"/>
      <c r="H63" s="85"/>
      <c r="I63" s="85"/>
      <c r="J63" s="85"/>
      <c r="K63" s="117"/>
      <c r="L63" s="110"/>
      <c r="M63" s="110"/>
      <c r="N63" s="110"/>
      <c r="O63" s="110"/>
      <c r="P63" s="110"/>
      <c r="Q63" s="111"/>
      <c r="R63" s="111"/>
      <c r="S63" s="111"/>
      <c r="T63" s="111"/>
      <c r="U63" s="111"/>
      <c r="V63" s="111"/>
      <c r="W63" s="111"/>
      <c r="X63" s="111"/>
      <c r="Y63" s="111"/>
      <c r="Z63" s="111"/>
    </row>
    <row r="64" spans="1:26" ht="19.5" customHeight="1" x14ac:dyDescent="0.2">
      <c r="A64" s="86" t="s">
        <v>6</v>
      </c>
      <c r="B64" s="87">
        <v>2018</v>
      </c>
      <c r="C64" s="86" t="s">
        <v>7</v>
      </c>
      <c r="D64" s="88" t="s">
        <v>49</v>
      </c>
      <c r="E64" s="86" t="s">
        <v>9</v>
      </c>
      <c r="F64" s="291" t="s">
        <v>50</v>
      </c>
      <c r="G64" s="89" t="s">
        <v>11</v>
      </c>
      <c r="H64" s="90">
        <v>2</v>
      </c>
      <c r="I64" s="91" t="s">
        <v>12</v>
      </c>
      <c r="J64" s="90" t="s">
        <v>13</v>
      </c>
      <c r="K64" s="291"/>
      <c r="L64" s="110"/>
      <c r="M64" s="110"/>
      <c r="N64" s="110"/>
      <c r="O64" s="110"/>
      <c r="P64" s="110"/>
      <c r="Q64" s="111"/>
      <c r="R64" s="111"/>
      <c r="S64" s="111"/>
      <c r="T64" s="111"/>
      <c r="U64" s="111"/>
      <c r="V64" s="111"/>
      <c r="W64" s="111"/>
      <c r="X64" s="111"/>
      <c r="Y64" s="111"/>
      <c r="Z64" s="111"/>
    </row>
    <row r="65" spans="1:26" ht="19.5" customHeight="1" x14ac:dyDescent="0.2">
      <c r="A65" s="86" t="s">
        <v>6</v>
      </c>
      <c r="B65" s="87">
        <v>2023</v>
      </c>
      <c r="C65" s="86" t="s">
        <v>7</v>
      </c>
      <c r="D65" s="88" t="s">
        <v>51</v>
      </c>
      <c r="E65" s="86" t="s">
        <v>9</v>
      </c>
      <c r="F65" s="291" t="s">
        <v>50</v>
      </c>
      <c r="G65" s="89" t="s">
        <v>11</v>
      </c>
      <c r="H65" s="90">
        <v>2</v>
      </c>
      <c r="I65" s="91" t="s">
        <v>12</v>
      </c>
      <c r="J65" s="90" t="s">
        <v>13</v>
      </c>
      <c r="K65" s="291"/>
      <c r="L65" s="110"/>
      <c r="M65" s="110"/>
      <c r="N65" s="110"/>
      <c r="O65" s="110"/>
      <c r="P65" s="110"/>
      <c r="Q65" s="111"/>
      <c r="R65" s="111"/>
      <c r="S65" s="111"/>
      <c r="T65" s="111"/>
      <c r="U65" s="111"/>
      <c r="V65" s="111"/>
      <c r="W65" s="111"/>
      <c r="X65" s="111"/>
      <c r="Y65" s="111"/>
      <c r="Z65" s="111"/>
    </row>
    <row r="66" spans="1:26" ht="19.5" customHeight="1" x14ac:dyDescent="0.2">
      <c r="A66" s="101" t="s">
        <v>16</v>
      </c>
      <c r="B66" s="102" t="s">
        <v>17</v>
      </c>
      <c r="C66" s="102" t="s">
        <v>18</v>
      </c>
      <c r="D66" s="508" t="s">
        <v>19</v>
      </c>
      <c r="E66" s="455"/>
      <c r="F66" s="94" t="s">
        <v>20</v>
      </c>
      <c r="G66" s="94"/>
      <c r="H66" s="93" t="s">
        <v>21</v>
      </c>
      <c r="I66" s="93" t="s">
        <v>22</v>
      </c>
      <c r="J66" s="94" t="s">
        <v>23</v>
      </c>
      <c r="K66" s="352"/>
      <c r="L66" s="110"/>
      <c r="M66" s="110"/>
      <c r="N66" s="110"/>
      <c r="O66" s="110"/>
      <c r="P66" s="110"/>
      <c r="Q66" s="111"/>
      <c r="R66" s="111"/>
      <c r="S66" s="111"/>
      <c r="T66" s="111"/>
      <c r="U66" s="111"/>
      <c r="V66" s="111"/>
      <c r="W66" s="111"/>
      <c r="X66" s="111"/>
      <c r="Y66" s="111"/>
      <c r="Z66" s="111"/>
    </row>
    <row r="67" spans="1:26" ht="19.5" customHeight="1" x14ac:dyDescent="0.2">
      <c r="A67" s="504" t="s">
        <v>24</v>
      </c>
      <c r="B67" s="103" t="s">
        <v>17</v>
      </c>
      <c r="C67" s="104" t="s">
        <v>48</v>
      </c>
      <c r="D67" s="105">
        <v>0.58333333333333337</v>
      </c>
      <c r="E67" s="106">
        <v>0.625</v>
      </c>
      <c r="F67" s="264"/>
      <c r="G67" s="260"/>
      <c r="H67" s="449">
        <v>5</v>
      </c>
      <c r="I67" s="440">
        <v>35</v>
      </c>
      <c r="J67" s="451">
        <f>SUM(H67:I67)</f>
        <v>40</v>
      </c>
      <c r="K67" s="546"/>
      <c r="L67" s="110"/>
      <c r="M67" s="110"/>
      <c r="N67" s="110"/>
      <c r="O67" s="110"/>
      <c r="P67" s="110"/>
      <c r="Q67" s="111"/>
      <c r="R67" s="111"/>
      <c r="S67" s="111"/>
      <c r="T67" s="111"/>
      <c r="U67" s="111"/>
      <c r="V67" s="111"/>
      <c r="W67" s="111"/>
      <c r="X67" s="111"/>
      <c r="Y67" s="111"/>
      <c r="Z67" s="111"/>
    </row>
    <row r="68" spans="1:26" ht="19.5" customHeight="1" x14ac:dyDescent="0.2">
      <c r="A68" s="444"/>
      <c r="B68" s="103" t="s">
        <v>26</v>
      </c>
      <c r="C68" s="104" t="s">
        <v>48</v>
      </c>
      <c r="D68" s="107">
        <v>0.625</v>
      </c>
      <c r="E68" s="108">
        <v>0.70833333333333337</v>
      </c>
      <c r="F68" s="264"/>
      <c r="G68" s="261"/>
      <c r="H68" s="450"/>
      <c r="I68" s="450"/>
      <c r="J68" s="450"/>
      <c r="K68" s="547"/>
      <c r="L68" s="110"/>
      <c r="M68" s="110"/>
      <c r="N68" s="110"/>
      <c r="O68" s="110"/>
      <c r="P68" s="110"/>
      <c r="Q68" s="111"/>
      <c r="R68" s="111"/>
      <c r="S68" s="111"/>
      <c r="T68" s="111"/>
      <c r="U68" s="111"/>
      <c r="V68" s="111"/>
      <c r="W68" s="111"/>
      <c r="X68" s="111"/>
      <c r="Y68" s="111"/>
      <c r="Z68" s="111"/>
    </row>
    <row r="69" spans="1:26" ht="19.5" customHeight="1" x14ac:dyDescent="0.2">
      <c r="A69" s="505" t="s">
        <v>27</v>
      </c>
      <c r="B69" s="7" t="s">
        <v>17</v>
      </c>
      <c r="C69" s="104" t="s">
        <v>48</v>
      </c>
      <c r="D69" s="105">
        <v>0.58333333333333337</v>
      </c>
      <c r="E69" s="106">
        <v>0.625</v>
      </c>
      <c r="F69" s="306"/>
      <c r="G69" s="261"/>
      <c r="H69" s="449">
        <v>5</v>
      </c>
      <c r="I69" s="440">
        <v>35</v>
      </c>
      <c r="J69" s="507">
        <f>SUM(H69:I69)</f>
        <v>40</v>
      </c>
      <c r="K69" s="527"/>
      <c r="L69" s="110"/>
      <c r="M69" s="110"/>
      <c r="N69" s="110"/>
      <c r="O69" s="110"/>
      <c r="P69" s="110"/>
      <c r="Q69" s="111"/>
      <c r="R69" s="111"/>
      <c r="S69" s="111"/>
      <c r="T69" s="111"/>
      <c r="U69" s="111"/>
      <c r="V69" s="111"/>
      <c r="W69" s="111"/>
      <c r="X69" s="111"/>
      <c r="Y69" s="111"/>
      <c r="Z69" s="111"/>
    </row>
    <row r="70" spans="1:26" ht="19.5" customHeight="1" x14ac:dyDescent="0.2">
      <c r="A70" s="506"/>
      <c r="B70" s="7" t="s">
        <v>26</v>
      </c>
      <c r="C70" s="104" t="s">
        <v>48</v>
      </c>
      <c r="D70" s="107">
        <v>0.625</v>
      </c>
      <c r="E70" s="108">
        <v>0.70833333333333337</v>
      </c>
      <c r="F70" s="307"/>
      <c r="G70" s="261"/>
      <c r="H70" s="450"/>
      <c r="I70" s="450"/>
      <c r="J70" s="503"/>
      <c r="K70" s="528"/>
      <c r="L70" s="110"/>
      <c r="M70" s="110"/>
      <c r="N70" s="110"/>
      <c r="O70" s="110"/>
      <c r="P70" s="110"/>
      <c r="Q70" s="111"/>
      <c r="R70" s="111"/>
      <c r="S70" s="111"/>
      <c r="T70" s="111"/>
      <c r="U70" s="111"/>
      <c r="V70" s="111"/>
      <c r="W70" s="111"/>
      <c r="X70" s="111"/>
      <c r="Y70" s="111"/>
      <c r="Z70" s="111"/>
    </row>
    <row r="71" spans="1:26" ht="19.5" customHeight="1" x14ac:dyDescent="0.2">
      <c r="A71" s="505" t="s">
        <v>28</v>
      </c>
      <c r="B71" s="7" t="s">
        <v>17</v>
      </c>
      <c r="C71" s="104" t="s">
        <v>48</v>
      </c>
      <c r="D71" s="105">
        <v>0.58333333333333337</v>
      </c>
      <c r="E71" s="106">
        <v>0.625</v>
      </c>
      <c r="F71" s="307"/>
      <c r="G71" s="261"/>
      <c r="H71" s="449">
        <v>5</v>
      </c>
      <c r="I71" s="440">
        <v>35</v>
      </c>
      <c r="J71" s="507">
        <f>SUM(H71:I71)</f>
        <v>40</v>
      </c>
      <c r="K71" s="527"/>
      <c r="L71" s="110"/>
      <c r="M71" s="110"/>
      <c r="N71" s="110"/>
      <c r="O71" s="110"/>
      <c r="P71" s="110"/>
      <c r="Q71" s="111"/>
      <c r="R71" s="111"/>
      <c r="S71" s="111"/>
      <c r="T71" s="111"/>
      <c r="U71" s="111"/>
      <c r="V71" s="111"/>
      <c r="W71" s="111"/>
      <c r="X71" s="111"/>
      <c r="Y71" s="111"/>
      <c r="Z71" s="111"/>
    </row>
    <row r="72" spans="1:26" ht="19.5" customHeight="1" x14ac:dyDescent="0.2">
      <c r="A72" s="506"/>
      <c r="B72" s="7" t="s">
        <v>26</v>
      </c>
      <c r="C72" s="104" t="s">
        <v>48</v>
      </c>
      <c r="D72" s="107">
        <v>0.625</v>
      </c>
      <c r="E72" s="108">
        <v>0.70833333333333337</v>
      </c>
      <c r="F72" s="307"/>
      <c r="G72" s="261"/>
      <c r="H72" s="450"/>
      <c r="I72" s="450"/>
      <c r="J72" s="503"/>
      <c r="K72" s="528"/>
      <c r="L72" s="110"/>
      <c r="M72" s="110"/>
      <c r="N72" s="110"/>
      <c r="O72" s="110"/>
      <c r="P72" s="110"/>
      <c r="Q72" s="111"/>
      <c r="R72" s="111"/>
      <c r="S72" s="111"/>
      <c r="T72" s="111"/>
      <c r="U72" s="111"/>
      <c r="V72" s="111"/>
      <c r="W72" s="111"/>
      <c r="X72" s="111"/>
      <c r="Y72" s="111"/>
      <c r="Z72" s="111"/>
    </row>
    <row r="73" spans="1:26" ht="19.5" customHeight="1" x14ac:dyDescent="0.2">
      <c r="A73" s="99"/>
      <c r="B73" s="84"/>
      <c r="C73" s="85"/>
      <c r="D73" s="85"/>
      <c r="E73" s="85"/>
      <c r="F73" s="259"/>
      <c r="G73" s="255"/>
      <c r="H73" s="85"/>
      <c r="I73" s="85"/>
      <c r="J73" s="85"/>
      <c r="K73" s="117"/>
      <c r="L73" s="110"/>
      <c r="M73" s="110"/>
      <c r="N73" s="110"/>
      <c r="O73" s="110"/>
      <c r="P73" s="110"/>
      <c r="Q73" s="111"/>
      <c r="R73" s="111"/>
      <c r="S73" s="111"/>
      <c r="T73" s="111"/>
      <c r="U73" s="111"/>
      <c r="V73" s="111"/>
      <c r="W73" s="111"/>
      <c r="X73" s="111"/>
      <c r="Y73" s="111"/>
      <c r="Z73" s="111"/>
    </row>
    <row r="74" spans="1:26" ht="19.5" customHeight="1" x14ac:dyDescent="0.2">
      <c r="A74" s="86" t="s">
        <v>6</v>
      </c>
      <c r="B74" s="87">
        <v>2018</v>
      </c>
      <c r="C74" s="86" t="s">
        <v>7</v>
      </c>
      <c r="D74" s="88" t="s">
        <v>52</v>
      </c>
      <c r="E74" s="86" t="s">
        <v>9</v>
      </c>
      <c r="F74" s="291" t="s">
        <v>53</v>
      </c>
      <c r="G74" s="89" t="s">
        <v>11</v>
      </c>
      <c r="H74" s="90">
        <v>4</v>
      </c>
      <c r="I74" s="91" t="s">
        <v>12</v>
      </c>
      <c r="J74" s="90" t="s">
        <v>13</v>
      </c>
      <c r="K74" s="291"/>
      <c r="L74" s="110"/>
      <c r="M74" s="110"/>
      <c r="N74" s="110"/>
      <c r="O74" s="110"/>
      <c r="P74" s="110"/>
      <c r="Q74" s="111"/>
      <c r="R74" s="111"/>
      <c r="S74" s="111"/>
      <c r="T74" s="111"/>
      <c r="U74" s="111"/>
      <c r="V74" s="111"/>
      <c r="W74" s="111"/>
      <c r="X74" s="111"/>
      <c r="Y74" s="111"/>
      <c r="Z74" s="111"/>
    </row>
    <row r="75" spans="1:26" ht="19.5" customHeight="1" x14ac:dyDescent="0.2">
      <c r="A75" s="86" t="s">
        <v>6</v>
      </c>
      <c r="B75" s="87">
        <v>2023</v>
      </c>
      <c r="C75" s="86" t="s">
        <v>7</v>
      </c>
      <c r="D75" s="88" t="s">
        <v>54</v>
      </c>
      <c r="E75" s="86" t="s">
        <v>9</v>
      </c>
      <c r="F75" s="291" t="s">
        <v>53</v>
      </c>
      <c r="G75" s="89" t="s">
        <v>11</v>
      </c>
      <c r="H75" s="90">
        <v>4</v>
      </c>
      <c r="I75" s="91" t="s">
        <v>12</v>
      </c>
      <c r="J75" s="90" t="s">
        <v>13</v>
      </c>
      <c r="K75" s="291"/>
      <c r="L75" s="110"/>
      <c r="M75" s="110"/>
      <c r="N75" s="110"/>
      <c r="O75" s="110"/>
      <c r="P75" s="110"/>
      <c r="Q75" s="111"/>
      <c r="R75" s="111"/>
      <c r="S75" s="111"/>
      <c r="T75" s="111"/>
      <c r="U75" s="111"/>
      <c r="V75" s="111"/>
      <c r="W75" s="111"/>
      <c r="X75" s="111"/>
      <c r="Y75" s="111"/>
      <c r="Z75" s="111"/>
    </row>
    <row r="76" spans="1:26" ht="19.5" customHeight="1" x14ac:dyDescent="0.2">
      <c r="A76" s="101" t="s">
        <v>16</v>
      </c>
      <c r="B76" s="102" t="s">
        <v>17</v>
      </c>
      <c r="C76" s="102" t="s">
        <v>18</v>
      </c>
      <c r="D76" s="508" t="s">
        <v>19</v>
      </c>
      <c r="E76" s="455"/>
      <c r="F76" s="94" t="s">
        <v>20</v>
      </c>
      <c r="G76" s="94"/>
      <c r="H76" s="93" t="s">
        <v>21</v>
      </c>
      <c r="I76" s="93" t="s">
        <v>22</v>
      </c>
      <c r="J76" s="94" t="s">
        <v>23</v>
      </c>
      <c r="K76" s="352"/>
      <c r="L76" s="110"/>
      <c r="M76" s="110"/>
      <c r="N76" s="110"/>
      <c r="O76" s="110"/>
      <c r="P76" s="110"/>
      <c r="Q76" s="111"/>
      <c r="R76" s="111"/>
      <c r="S76" s="111"/>
      <c r="T76" s="111"/>
      <c r="U76" s="111"/>
      <c r="V76" s="111"/>
      <c r="W76" s="111"/>
      <c r="X76" s="111"/>
      <c r="Y76" s="111"/>
      <c r="Z76" s="111"/>
    </row>
    <row r="77" spans="1:26" ht="19.5" customHeight="1" x14ac:dyDescent="0.2">
      <c r="A77" s="504" t="s">
        <v>24</v>
      </c>
      <c r="B77" s="103" t="s">
        <v>17</v>
      </c>
      <c r="C77" s="104" t="s">
        <v>32</v>
      </c>
      <c r="D77" s="105">
        <v>0.58333333333333337</v>
      </c>
      <c r="E77" s="106">
        <v>0.66666666666666663</v>
      </c>
      <c r="F77" s="264"/>
      <c r="G77" s="260"/>
      <c r="H77" s="449">
        <v>5</v>
      </c>
      <c r="I77" s="440">
        <v>35</v>
      </c>
      <c r="J77" s="507">
        <f>SUM(H77:I77)</f>
        <v>40</v>
      </c>
      <c r="K77" s="544"/>
      <c r="L77" s="110"/>
      <c r="M77" s="110"/>
      <c r="N77" s="110"/>
      <c r="O77" s="110"/>
      <c r="P77" s="110"/>
      <c r="Q77" s="111"/>
      <c r="R77" s="111"/>
      <c r="S77" s="111"/>
      <c r="T77" s="111"/>
      <c r="U77" s="111"/>
      <c r="V77" s="111"/>
      <c r="W77" s="111"/>
      <c r="X77" s="111"/>
      <c r="Y77" s="111"/>
      <c r="Z77" s="111"/>
    </row>
    <row r="78" spans="1:26" ht="19.5" customHeight="1" x14ac:dyDescent="0.2">
      <c r="A78" s="444"/>
      <c r="B78" s="103" t="s">
        <v>26</v>
      </c>
      <c r="C78" s="104" t="s">
        <v>32</v>
      </c>
      <c r="D78" s="107">
        <v>0.66666666666666663</v>
      </c>
      <c r="E78" s="108">
        <v>0.75</v>
      </c>
      <c r="F78" s="264"/>
      <c r="G78" s="261"/>
      <c r="H78" s="450"/>
      <c r="I78" s="450"/>
      <c r="J78" s="503"/>
      <c r="K78" s="545"/>
      <c r="L78" s="110"/>
      <c r="M78" s="110"/>
      <c r="N78" s="110"/>
      <c r="O78" s="110"/>
      <c r="P78" s="110"/>
      <c r="Q78" s="111"/>
      <c r="R78" s="111"/>
      <c r="S78" s="111"/>
      <c r="T78" s="111"/>
      <c r="U78" s="111"/>
      <c r="V78" s="111"/>
      <c r="W78" s="111"/>
      <c r="X78" s="111"/>
      <c r="Y78" s="111"/>
      <c r="Z78" s="111"/>
    </row>
    <row r="79" spans="1:26" ht="19.5" customHeight="1" x14ac:dyDescent="0.2">
      <c r="A79" s="505" t="s">
        <v>27</v>
      </c>
      <c r="B79" s="7" t="s">
        <v>17</v>
      </c>
      <c r="C79" s="104" t="s">
        <v>32</v>
      </c>
      <c r="D79" s="105">
        <v>0.58333333333333337</v>
      </c>
      <c r="E79" s="106">
        <v>0.66666666666666663</v>
      </c>
      <c r="F79" s="306"/>
      <c r="G79" s="261"/>
      <c r="H79" s="449">
        <v>5</v>
      </c>
      <c r="I79" s="440">
        <v>35</v>
      </c>
      <c r="J79" s="507">
        <f>SUM(H79:I79)</f>
        <v>40</v>
      </c>
      <c r="K79" s="527"/>
      <c r="L79" s="110"/>
      <c r="M79" s="110"/>
      <c r="N79" s="110"/>
      <c r="O79" s="110"/>
      <c r="P79" s="110"/>
      <c r="Q79" s="111"/>
      <c r="R79" s="111"/>
      <c r="S79" s="111"/>
      <c r="T79" s="111"/>
      <c r="U79" s="111"/>
      <c r="V79" s="111"/>
      <c r="W79" s="111"/>
      <c r="X79" s="111"/>
      <c r="Y79" s="111"/>
      <c r="Z79" s="111"/>
    </row>
    <row r="80" spans="1:26" ht="19.5" customHeight="1" x14ac:dyDescent="0.2">
      <c r="A80" s="506"/>
      <c r="B80" s="7" t="s">
        <v>26</v>
      </c>
      <c r="C80" s="104" t="s">
        <v>32</v>
      </c>
      <c r="D80" s="107">
        <v>0.66666666666666663</v>
      </c>
      <c r="E80" s="108">
        <v>0.75</v>
      </c>
      <c r="F80" s="307"/>
      <c r="G80" s="261"/>
      <c r="H80" s="450"/>
      <c r="I80" s="450"/>
      <c r="J80" s="503"/>
      <c r="K80" s="528"/>
      <c r="L80" s="110"/>
      <c r="M80" s="110"/>
      <c r="N80" s="110"/>
      <c r="O80" s="110"/>
      <c r="P80" s="110"/>
      <c r="Q80" s="111"/>
      <c r="R80" s="111"/>
      <c r="S80" s="111"/>
      <c r="T80" s="111"/>
      <c r="U80" s="111"/>
      <c r="V80" s="111"/>
      <c r="W80" s="111"/>
      <c r="X80" s="111"/>
      <c r="Y80" s="111"/>
      <c r="Z80" s="111"/>
    </row>
    <row r="81" spans="1:26" ht="19.5" customHeight="1" x14ac:dyDescent="0.2">
      <c r="A81" s="505" t="s">
        <v>28</v>
      </c>
      <c r="B81" s="7" t="s">
        <v>17</v>
      </c>
      <c r="C81" s="104" t="s">
        <v>32</v>
      </c>
      <c r="D81" s="105">
        <v>0.58333333333333337</v>
      </c>
      <c r="E81" s="106">
        <v>0.66666666666666663</v>
      </c>
      <c r="F81" s="307"/>
      <c r="G81" s="261"/>
      <c r="H81" s="449">
        <v>5</v>
      </c>
      <c r="I81" s="440">
        <v>35</v>
      </c>
      <c r="J81" s="507">
        <f>SUM(H81:I81)</f>
        <v>40</v>
      </c>
      <c r="K81" s="527"/>
      <c r="L81" s="110"/>
      <c r="M81" s="110"/>
      <c r="N81" s="110"/>
      <c r="O81" s="110"/>
      <c r="P81" s="110"/>
      <c r="Q81" s="111"/>
      <c r="R81" s="111"/>
      <c r="S81" s="111"/>
      <c r="T81" s="111"/>
      <c r="U81" s="111"/>
      <c r="V81" s="111"/>
      <c r="W81" s="111"/>
      <c r="X81" s="111"/>
      <c r="Y81" s="111"/>
      <c r="Z81" s="111"/>
    </row>
    <row r="82" spans="1:26" ht="19.5" customHeight="1" x14ac:dyDescent="0.2">
      <c r="A82" s="506"/>
      <c r="B82" s="7" t="s">
        <v>26</v>
      </c>
      <c r="C82" s="104" t="s">
        <v>32</v>
      </c>
      <c r="D82" s="107">
        <v>0.66666666666666663</v>
      </c>
      <c r="E82" s="108">
        <v>0.75</v>
      </c>
      <c r="F82" s="307"/>
      <c r="G82" s="261"/>
      <c r="H82" s="450"/>
      <c r="I82" s="450"/>
      <c r="J82" s="503"/>
      <c r="K82" s="528"/>
      <c r="L82" s="110"/>
      <c r="M82" s="110"/>
      <c r="N82" s="110"/>
      <c r="O82" s="110"/>
      <c r="P82" s="110"/>
      <c r="Q82" s="111"/>
      <c r="R82" s="111"/>
      <c r="S82" s="111"/>
      <c r="T82" s="111"/>
      <c r="U82" s="111"/>
      <c r="V82" s="111"/>
      <c r="W82" s="111"/>
      <c r="X82" s="111"/>
      <c r="Y82" s="111"/>
      <c r="Z82" s="111"/>
    </row>
    <row r="83" spans="1:26" ht="19.5" customHeight="1" x14ac:dyDescent="0.2">
      <c r="A83" s="99"/>
      <c r="B83" s="84"/>
      <c r="C83" s="85"/>
      <c r="D83" s="85"/>
      <c r="E83" s="85"/>
      <c r="F83" s="259"/>
      <c r="G83" s="255"/>
      <c r="H83" s="85"/>
      <c r="I83" s="85"/>
      <c r="J83" s="85"/>
      <c r="K83" s="117"/>
      <c r="L83" s="110"/>
      <c r="M83" s="110"/>
      <c r="N83" s="110"/>
      <c r="O83" s="110"/>
      <c r="P83" s="110"/>
      <c r="Q83" s="111"/>
      <c r="R83" s="111"/>
      <c r="S83" s="111"/>
      <c r="T83" s="111"/>
      <c r="U83" s="111"/>
      <c r="V83" s="111"/>
      <c r="W83" s="111"/>
      <c r="X83" s="111"/>
      <c r="Y83" s="111"/>
      <c r="Z83" s="111"/>
    </row>
    <row r="84" spans="1:26" ht="19.5" customHeight="1" x14ac:dyDescent="0.2">
      <c r="A84" s="86" t="s">
        <v>6</v>
      </c>
      <c r="B84" s="87">
        <v>2018</v>
      </c>
      <c r="C84" s="86" t="s">
        <v>7</v>
      </c>
      <c r="D84" s="88" t="s">
        <v>55</v>
      </c>
      <c r="E84" s="86" t="s">
        <v>9</v>
      </c>
      <c r="F84" s="291" t="s">
        <v>56</v>
      </c>
      <c r="G84" s="89" t="s">
        <v>11</v>
      </c>
      <c r="H84" s="90">
        <v>3</v>
      </c>
      <c r="I84" s="91" t="s">
        <v>12</v>
      </c>
      <c r="J84" s="90" t="s">
        <v>13</v>
      </c>
      <c r="K84" s="291"/>
      <c r="L84" s="110"/>
      <c r="M84" s="110"/>
      <c r="N84" s="110"/>
      <c r="O84" s="110"/>
      <c r="P84" s="110"/>
      <c r="Q84" s="111"/>
      <c r="R84" s="111"/>
      <c r="S84" s="111"/>
      <c r="T84" s="111"/>
      <c r="U84" s="111"/>
      <c r="V84" s="111"/>
      <c r="W84" s="111"/>
      <c r="X84" s="111"/>
      <c r="Y84" s="111"/>
      <c r="Z84" s="111"/>
    </row>
    <row r="85" spans="1:26" ht="19.5" customHeight="1" x14ac:dyDescent="0.2">
      <c r="A85" s="86" t="s">
        <v>6</v>
      </c>
      <c r="B85" s="87">
        <v>2023</v>
      </c>
      <c r="C85" s="86" t="s">
        <v>7</v>
      </c>
      <c r="D85" s="88" t="s">
        <v>57</v>
      </c>
      <c r="E85" s="86" t="s">
        <v>9</v>
      </c>
      <c r="F85" s="291" t="s">
        <v>56</v>
      </c>
      <c r="G85" s="89" t="s">
        <v>11</v>
      </c>
      <c r="H85" s="90">
        <v>3</v>
      </c>
      <c r="I85" s="91" t="s">
        <v>12</v>
      </c>
      <c r="J85" s="90" t="s">
        <v>13</v>
      </c>
      <c r="K85" s="291"/>
      <c r="L85" s="110"/>
      <c r="M85" s="110"/>
      <c r="N85" s="110"/>
      <c r="O85" s="110"/>
      <c r="P85" s="110"/>
      <c r="Q85" s="111"/>
      <c r="R85" s="111"/>
      <c r="S85" s="111"/>
      <c r="T85" s="111"/>
      <c r="U85" s="111"/>
      <c r="V85" s="111"/>
      <c r="W85" s="111"/>
      <c r="X85" s="111"/>
      <c r="Y85" s="111"/>
      <c r="Z85" s="111"/>
    </row>
    <row r="86" spans="1:26" ht="19.5" customHeight="1" x14ac:dyDescent="0.2">
      <c r="A86" s="101" t="s">
        <v>16</v>
      </c>
      <c r="B86" s="102" t="s">
        <v>17</v>
      </c>
      <c r="C86" s="102" t="s">
        <v>18</v>
      </c>
      <c r="D86" s="508" t="s">
        <v>19</v>
      </c>
      <c r="E86" s="455"/>
      <c r="F86" s="94" t="s">
        <v>20</v>
      </c>
      <c r="G86" s="94"/>
      <c r="H86" s="93" t="s">
        <v>21</v>
      </c>
      <c r="I86" s="93" t="s">
        <v>22</v>
      </c>
      <c r="J86" s="94" t="s">
        <v>23</v>
      </c>
      <c r="K86" s="352"/>
      <c r="L86" s="110"/>
      <c r="M86" s="110"/>
      <c r="N86" s="110"/>
      <c r="O86" s="110"/>
      <c r="P86" s="110"/>
      <c r="Q86" s="111"/>
      <c r="R86" s="111"/>
      <c r="S86" s="111"/>
      <c r="T86" s="111"/>
      <c r="U86" s="111"/>
      <c r="V86" s="111"/>
      <c r="W86" s="111"/>
      <c r="X86" s="111"/>
      <c r="Y86" s="111"/>
      <c r="Z86" s="111"/>
    </row>
    <row r="87" spans="1:26" ht="19.5" customHeight="1" x14ac:dyDescent="0.2">
      <c r="A87" s="504" t="s">
        <v>24</v>
      </c>
      <c r="B87" s="103" t="s">
        <v>17</v>
      </c>
      <c r="C87" s="104" t="s">
        <v>25</v>
      </c>
      <c r="D87" s="105">
        <v>0.58333333333333337</v>
      </c>
      <c r="E87" s="106">
        <v>0.66666666666666663</v>
      </c>
      <c r="F87" s="264"/>
      <c r="G87" s="260"/>
      <c r="H87" s="449">
        <v>5</v>
      </c>
      <c r="I87" s="440">
        <v>35</v>
      </c>
      <c r="J87" s="507">
        <f>SUM(H87:I87)</f>
        <v>40</v>
      </c>
      <c r="K87" s="544"/>
      <c r="L87" s="110"/>
      <c r="M87" s="110"/>
      <c r="N87" s="110"/>
      <c r="O87" s="110"/>
      <c r="P87" s="110"/>
      <c r="Q87" s="111"/>
      <c r="R87" s="111"/>
      <c r="S87" s="111"/>
      <c r="T87" s="111"/>
      <c r="U87" s="111"/>
      <c r="V87" s="111"/>
      <c r="W87" s="111"/>
      <c r="X87" s="111"/>
      <c r="Y87" s="111"/>
      <c r="Z87" s="111"/>
    </row>
    <row r="88" spans="1:26" ht="19.5" customHeight="1" x14ac:dyDescent="0.2">
      <c r="A88" s="444"/>
      <c r="B88" s="103" t="s">
        <v>26</v>
      </c>
      <c r="C88" s="104" t="s">
        <v>25</v>
      </c>
      <c r="D88" s="107">
        <v>0.66666666666666663</v>
      </c>
      <c r="E88" s="108">
        <v>0.75</v>
      </c>
      <c r="F88" s="264"/>
      <c r="G88" s="261"/>
      <c r="H88" s="450"/>
      <c r="I88" s="450"/>
      <c r="J88" s="503"/>
      <c r="K88" s="545"/>
      <c r="L88" s="110"/>
      <c r="M88" s="110"/>
      <c r="N88" s="110"/>
      <c r="O88" s="110"/>
      <c r="P88" s="110"/>
      <c r="Q88" s="111"/>
      <c r="R88" s="111"/>
      <c r="S88" s="111"/>
      <c r="T88" s="111"/>
      <c r="U88" s="111"/>
      <c r="V88" s="111"/>
      <c r="W88" s="111"/>
      <c r="X88" s="111"/>
      <c r="Y88" s="111"/>
      <c r="Z88" s="111"/>
    </row>
    <row r="89" spans="1:26" ht="19.5" customHeight="1" x14ac:dyDescent="0.2">
      <c r="A89" s="505" t="s">
        <v>27</v>
      </c>
      <c r="B89" s="7" t="s">
        <v>17</v>
      </c>
      <c r="C89" s="104" t="s">
        <v>25</v>
      </c>
      <c r="D89" s="105">
        <v>0.58333333333333337</v>
      </c>
      <c r="E89" s="106">
        <v>0.66666666666666663</v>
      </c>
      <c r="F89" s="306"/>
      <c r="G89" s="261"/>
      <c r="H89" s="449">
        <v>5</v>
      </c>
      <c r="I89" s="440">
        <v>35</v>
      </c>
      <c r="J89" s="507">
        <f>SUM(H89:I89)</f>
        <v>40</v>
      </c>
      <c r="K89" s="527"/>
      <c r="L89" s="110"/>
      <c r="M89" s="110"/>
      <c r="N89" s="110"/>
      <c r="O89" s="110"/>
      <c r="P89" s="110"/>
      <c r="Q89" s="111"/>
      <c r="R89" s="111"/>
      <c r="S89" s="111"/>
      <c r="T89" s="111"/>
      <c r="U89" s="111"/>
      <c r="V89" s="111"/>
      <c r="W89" s="111"/>
      <c r="X89" s="111"/>
      <c r="Y89" s="111"/>
      <c r="Z89" s="111"/>
    </row>
    <row r="90" spans="1:26" ht="19.5" customHeight="1" x14ac:dyDescent="0.2">
      <c r="A90" s="506"/>
      <c r="B90" s="7" t="s">
        <v>26</v>
      </c>
      <c r="C90" s="104" t="s">
        <v>25</v>
      </c>
      <c r="D90" s="107">
        <v>0.66666666666666663</v>
      </c>
      <c r="E90" s="108">
        <v>0.75</v>
      </c>
      <c r="F90" s="307"/>
      <c r="G90" s="261"/>
      <c r="H90" s="450"/>
      <c r="I90" s="450"/>
      <c r="J90" s="503"/>
      <c r="K90" s="528"/>
      <c r="L90" s="110"/>
      <c r="M90" s="110"/>
      <c r="N90" s="110"/>
      <c r="O90" s="110"/>
      <c r="P90" s="110"/>
      <c r="Q90" s="111"/>
      <c r="R90" s="111"/>
      <c r="S90" s="111"/>
      <c r="T90" s="111"/>
      <c r="U90" s="111"/>
      <c r="V90" s="111"/>
      <c r="W90" s="111"/>
      <c r="X90" s="111"/>
      <c r="Y90" s="111"/>
      <c r="Z90" s="111"/>
    </row>
    <row r="91" spans="1:26" ht="19.5" customHeight="1" x14ac:dyDescent="0.2">
      <c r="A91" s="505" t="s">
        <v>28</v>
      </c>
      <c r="B91" s="7" t="s">
        <v>17</v>
      </c>
      <c r="C91" s="104" t="s">
        <v>25</v>
      </c>
      <c r="D91" s="105">
        <v>0.58333333333333337</v>
      </c>
      <c r="E91" s="106">
        <v>0.66666666666666663</v>
      </c>
      <c r="F91" s="307"/>
      <c r="G91" s="261"/>
      <c r="H91" s="449">
        <v>5</v>
      </c>
      <c r="I91" s="440">
        <v>35</v>
      </c>
      <c r="J91" s="507">
        <f>SUM(H91:I91)</f>
        <v>40</v>
      </c>
      <c r="K91" s="527"/>
      <c r="L91" s="110"/>
      <c r="M91" s="110"/>
      <c r="N91" s="110"/>
      <c r="O91" s="110"/>
      <c r="P91" s="110"/>
      <c r="Q91" s="111"/>
      <c r="R91" s="111"/>
      <c r="S91" s="111"/>
      <c r="T91" s="111"/>
      <c r="U91" s="111"/>
      <c r="V91" s="111"/>
      <c r="W91" s="111"/>
      <c r="X91" s="111"/>
      <c r="Y91" s="111"/>
      <c r="Z91" s="111"/>
    </row>
    <row r="92" spans="1:26" ht="19.5" customHeight="1" x14ac:dyDescent="0.2">
      <c r="A92" s="506"/>
      <c r="B92" s="7" t="s">
        <v>26</v>
      </c>
      <c r="C92" s="104" t="s">
        <v>25</v>
      </c>
      <c r="D92" s="107">
        <v>0.66666666666666663</v>
      </c>
      <c r="E92" s="108">
        <v>0.75</v>
      </c>
      <c r="F92" s="307"/>
      <c r="G92" s="261"/>
      <c r="H92" s="450"/>
      <c r="I92" s="450"/>
      <c r="J92" s="503"/>
      <c r="K92" s="528"/>
      <c r="L92" s="110"/>
      <c r="M92" s="110"/>
      <c r="N92" s="110"/>
      <c r="O92" s="110"/>
      <c r="P92" s="110"/>
      <c r="Q92" s="111"/>
      <c r="R92" s="111"/>
      <c r="S92" s="111"/>
      <c r="T92" s="111"/>
      <c r="U92" s="111"/>
      <c r="V92" s="111"/>
      <c r="W92" s="111"/>
      <c r="X92" s="111"/>
      <c r="Y92" s="111"/>
      <c r="Z92" s="111"/>
    </row>
    <row r="93" spans="1:26" ht="19.5" customHeight="1" x14ac:dyDescent="0.2">
      <c r="A93" s="112"/>
      <c r="B93" s="113"/>
      <c r="C93" s="114"/>
      <c r="D93" s="114"/>
      <c r="E93" s="114"/>
      <c r="F93" s="263"/>
      <c r="G93" s="263"/>
      <c r="H93" s="115"/>
      <c r="I93" s="115"/>
      <c r="J93" s="115"/>
      <c r="K93" s="293"/>
      <c r="L93" s="110"/>
      <c r="M93" s="110"/>
      <c r="N93" s="110"/>
      <c r="O93" s="110"/>
      <c r="P93" s="110"/>
      <c r="Q93" s="111"/>
      <c r="R93" s="111"/>
      <c r="S93" s="111"/>
      <c r="T93" s="111"/>
      <c r="U93" s="111"/>
      <c r="V93" s="111"/>
      <c r="W93" s="111"/>
      <c r="X93" s="111"/>
      <c r="Y93" s="111"/>
      <c r="Z93" s="111"/>
    </row>
    <row r="94" spans="1:26" ht="19.5" customHeight="1" x14ac:dyDescent="0.2">
      <c r="A94" s="83" t="s">
        <v>4</v>
      </c>
      <c r="B94" s="84" t="s">
        <v>58</v>
      </c>
      <c r="C94" s="85"/>
      <c r="D94" s="85"/>
      <c r="E94" s="85"/>
      <c r="F94" s="255"/>
      <c r="G94" s="255"/>
      <c r="H94" s="85"/>
      <c r="I94" s="85"/>
      <c r="J94" s="85"/>
      <c r="K94" s="117"/>
      <c r="L94" s="82"/>
      <c r="M94" s="82"/>
      <c r="N94" s="82"/>
      <c r="O94" s="82"/>
      <c r="P94" s="82"/>
    </row>
    <row r="95" spans="1:26" ht="19.5" customHeight="1" x14ac:dyDescent="0.2">
      <c r="A95" s="116"/>
      <c r="B95" s="116"/>
      <c r="C95" s="116"/>
      <c r="D95" s="116"/>
      <c r="E95" s="116"/>
      <c r="F95" s="117"/>
      <c r="G95" s="117"/>
      <c r="H95" s="82"/>
      <c r="I95" s="82"/>
      <c r="J95" s="117">
        <v>108</v>
      </c>
      <c r="K95" s="117"/>
      <c r="L95" s="82"/>
      <c r="M95" s="82"/>
      <c r="N95" s="82"/>
      <c r="O95" s="82"/>
      <c r="P95" s="82"/>
    </row>
    <row r="96" spans="1:26" ht="19.5" customHeight="1" x14ac:dyDescent="0.2">
      <c r="A96" s="86" t="s">
        <v>6</v>
      </c>
      <c r="B96" s="87">
        <v>2018</v>
      </c>
      <c r="C96" s="86" t="s">
        <v>7</v>
      </c>
      <c r="D96" s="88" t="s">
        <v>59</v>
      </c>
      <c r="E96" s="86" t="s">
        <v>9</v>
      </c>
      <c r="F96" s="291" t="s">
        <v>60</v>
      </c>
      <c r="G96" s="89" t="s">
        <v>11</v>
      </c>
      <c r="H96" s="90">
        <v>4</v>
      </c>
      <c r="I96" s="91" t="s">
        <v>12</v>
      </c>
      <c r="J96" s="90" t="s">
        <v>13</v>
      </c>
      <c r="K96" s="117"/>
      <c r="L96" s="82"/>
      <c r="M96" s="82"/>
      <c r="N96" s="82"/>
      <c r="O96" s="82"/>
      <c r="P96" s="82"/>
    </row>
    <row r="97" spans="1:16" ht="19.5" customHeight="1" x14ac:dyDescent="0.2">
      <c r="A97" s="86" t="s">
        <v>6</v>
      </c>
      <c r="B97" s="87">
        <v>2023</v>
      </c>
      <c r="C97" s="86" t="s">
        <v>7</v>
      </c>
      <c r="D97" s="88" t="s">
        <v>61</v>
      </c>
      <c r="E97" s="86" t="s">
        <v>9</v>
      </c>
      <c r="F97" s="291" t="s">
        <v>60</v>
      </c>
      <c r="G97" s="89" t="s">
        <v>11</v>
      </c>
      <c r="H97" s="90">
        <v>4</v>
      </c>
      <c r="I97" s="91" t="s">
        <v>12</v>
      </c>
      <c r="J97" s="90" t="s">
        <v>13</v>
      </c>
      <c r="K97" s="117"/>
      <c r="L97" s="82"/>
      <c r="M97" s="82"/>
      <c r="N97" s="82"/>
      <c r="O97" s="82"/>
      <c r="P97" s="82"/>
    </row>
    <row r="98" spans="1:16" ht="19.5" customHeight="1" x14ac:dyDescent="0.2">
      <c r="A98" s="101" t="s">
        <v>16</v>
      </c>
      <c r="B98" s="102" t="s">
        <v>17</v>
      </c>
      <c r="C98" s="102" t="s">
        <v>18</v>
      </c>
      <c r="D98" s="508" t="s">
        <v>19</v>
      </c>
      <c r="E98" s="455"/>
      <c r="F98" s="94" t="s">
        <v>20</v>
      </c>
      <c r="G98" s="94"/>
      <c r="H98" s="93" t="s">
        <v>21</v>
      </c>
      <c r="I98" s="93" t="s">
        <v>22</v>
      </c>
      <c r="J98" s="94" t="s">
        <v>23</v>
      </c>
      <c r="K98" s="117"/>
      <c r="L98" s="82"/>
      <c r="M98" s="82"/>
      <c r="N98" s="82"/>
      <c r="O98" s="82"/>
      <c r="P98" s="82"/>
    </row>
    <row r="99" spans="1:16" ht="19.5" customHeight="1" x14ac:dyDescent="0.2">
      <c r="A99" s="504" t="s">
        <v>24</v>
      </c>
      <c r="B99" s="103" t="s">
        <v>17</v>
      </c>
      <c r="C99" s="104" t="s">
        <v>32</v>
      </c>
      <c r="D99" s="108">
        <v>0.41666666666666669</v>
      </c>
      <c r="E99" s="108">
        <v>0.5</v>
      </c>
      <c r="F99" s="264"/>
      <c r="G99" s="260"/>
      <c r="H99" s="449">
        <v>4</v>
      </c>
      <c r="I99" s="440">
        <v>36</v>
      </c>
      <c r="J99" s="451">
        <v>40</v>
      </c>
      <c r="K99" s="580"/>
      <c r="L99" s="82"/>
      <c r="M99" s="82"/>
      <c r="N99" s="82"/>
      <c r="O99" s="82"/>
      <c r="P99" s="82"/>
    </row>
    <row r="100" spans="1:16" ht="19.5" customHeight="1" x14ac:dyDescent="0.2">
      <c r="A100" s="444"/>
      <c r="B100" s="103" t="s">
        <v>26</v>
      </c>
      <c r="C100" s="104" t="s">
        <v>48</v>
      </c>
      <c r="D100" s="108">
        <v>0.58333333333333337</v>
      </c>
      <c r="E100" s="108">
        <v>0.66666666666666663</v>
      </c>
      <c r="F100" s="264"/>
      <c r="G100" s="260"/>
      <c r="H100" s="450"/>
      <c r="I100" s="450"/>
      <c r="J100" s="450"/>
      <c r="K100" s="581"/>
      <c r="L100" s="82"/>
      <c r="M100" s="82"/>
      <c r="N100" s="82"/>
      <c r="O100" s="82"/>
      <c r="P100" s="82"/>
    </row>
    <row r="101" spans="1:16" ht="19.5" customHeight="1" x14ac:dyDescent="0.2">
      <c r="A101" s="118"/>
      <c r="B101" s="118"/>
      <c r="C101" s="118"/>
      <c r="D101" s="118"/>
      <c r="E101" s="118"/>
      <c r="F101" s="117"/>
      <c r="G101" s="117"/>
      <c r="H101" s="82"/>
      <c r="I101" s="82"/>
      <c r="J101" s="117"/>
      <c r="K101" s="117"/>
      <c r="L101" s="82"/>
      <c r="M101" s="82"/>
      <c r="N101" s="82"/>
      <c r="O101" s="82"/>
      <c r="P101" s="82"/>
    </row>
    <row r="102" spans="1:16" ht="19.5" customHeight="1" x14ac:dyDescent="0.2">
      <c r="A102" s="86" t="s">
        <v>6</v>
      </c>
      <c r="B102" s="87">
        <v>2018</v>
      </c>
      <c r="C102" s="86" t="s">
        <v>7</v>
      </c>
      <c r="D102" s="88" t="s">
        <v>62</v>
      </c>
      <c r="E102" s="86" t="s">
        <v>9</v>
      </c>
      <c r="F102" s="291" t="s">
        <v>63</v>
      </c>
      <c r="G102" s="89" t="s">
        <v>11</v>
      </c>
      <c r="H102" s="90">
        <v>4</v>
      </c>
      <c r="I102" s="91" t="s">
        <v>12</v>
      </c>
      <c r="J102" s="90" t="s">
        <v>13</v>
      </c>
      <c r="K102" s="117"/>
      <c r="L102" s="82"/>
      <c r="M102" s="82"/>
      <c r="N102" s="82"/>
      <c r="O102" s="82"/>
      <c r="P102" s="82"/>
    </row>
    <row r="103" spans="1:16" ht="19.5" customHeight="1" x14ac:dyDescent="0.2">
      <c r="A103" s="86" t="s">
        <v>6</v>
      </c>
      <c r="B103" s="87">
        <v>2023</v>
      </c>
      <c r="C103" s="86" t="s">
        <v>7</v>
      </c>
      <c r="D103" s="88" t="s">
        <v>64</v>
      </c>
      <c r="E103" s="86" t="s">
        <v>9</v>
      </c>
      <c r="F103" s="291" t="s">
        <v>63</v>
      </c>
      <c r="G103" s="89" t="s">
        <v>11</v>
      </c>
      <c r="H103" s="90">
        <v>4</v>
      </c>
      <c r="I103" s="91" t="s">
        <v>12</v>
      </c>
      <c r="J103" s="90" t="s">
        <v>13</v>
      </c>
      <c r="K103" s="117"/>
      <c r="L103" s="82"/>
      <c r="M103" s="82"/>
      <c r="N103" s="82"/>
      <c r="O103" s="82"/>
      <c r="P103" s="82"/>
    </row>
    <row r="104" spans="1:16" ht="19.5" customHeight="1" x14ac:dyDescent="0.2">
      <c r="A104" s="101" t="s">
        <v>16</v>
      </c>
      <c r="B104" s="102" t="s">
        <v>17</v>
      </c>
      <c r="C104" s="102" t="s">
        <v>18</v>
      </c>
      <c r="D104" s="508" t="s">
        <v>19</v>
      </c>
      <c r="E104" s="455"/>
      <c r="F104" s="94" t="s">
        <v>20</v>
      </c>
      <c r="G104" s="94"/>
      <c r="H104" s="93" t="s">
        <v>21</v>
      </c>
      <c r="I104" s="93" t="s">
        <v>22</v>
      </c>
      <c r="J104" s="94" t="s">
        <v>23</v>
      </c>
      <c r="K104" s="117"/>
      <c r="L104" s="82"/>
      <c r="M104" s="82"/>
      <c r="N104" s="82"/>
      <c r="O104" s="82"/>
      <c r="P104" s="82"/>
    </row>
    <row r="105" spans="1:16" ht="19.5" customHeight="1" x14ac:dyDescent="0.2">
      <c r="A105" s="504" t="s">
        <v>24</v>
      </c>
      <c r="B105" s="103" t="s">
        <v>17</v>
      </c>
      <c r="C105" s="104" t="s">
        <v>36</v>
      </c>
      <c r="D105" s="108">
        <v>0.33333333333333331</v>
      </c>
      <c r="E105" s="108">
        <v>0.45833333333333331</v>
      </c>
      <c r="F105" s="264"/>
      <c r="G105" s="128"/>
      <c r="H105" s="449">
        <v>4</v>
      </c>
      <c r="I105" s="440">
        <v>36</v>
      </c>
      <c r="J105" s="451">
        <f>SUM(H105:I105)</f>
        <v>40</v>
      </c>
      <c r="K105" s="452"/>
      <c r="L105" s="82"/>
      <c r="M105" s="82"/>
      <c r="N105" s="82"/>
      <c r="O105" s="82"/>
      <c r="P105" s="82"/>
    </row>
    <row r="106" spans="1:16" ht="19.5" customHeight="1" x14ac:dyDescent="0.2">
      <c r="A106" s="444"/>
      <c r="B106" s="103" t="s">
        <v>26</v>
      </c>
      <c r="C106" s="104" t="s">
        <v>36</v>
      </c>
      <c r="D106" s="108">
        <v>0.45833333333333331</v>
      </c>
      <c r="E106" s="108">
        <v>0.54166666666666663</v>
      </c>
      <c r="F106" s="264"/>
      <c r="G106" s="260"/>
      <c r="H106" s="450"/>
      <c r="I106" s="450"/>
      <c r="J106" s="450"/>
      <c r="K106" s="453"/>
      <c r="L106" s="82"/>
      <c r="M106" s="82"/>
      <c r="N106" s="82"/>
      <c r="O106" s="82"/>
      <c r="P106" s="82"/>
    </row>
    <row r="107" spans="1:16" ht="19.5" customHeight="1" x14ac:dyDescent="0.2">
      <c r="A107" s="118"/>
      <c r="B107" s="118"/>
      <c r="C107" s="118"/>
      <c r="D107" s="118"/>
      <c r="E107" s="118"/>
      <c r="F107" s="117"/>
      <c r="G107" s="117"/>
      <c r="H107" s="82"/>
      <c r="I107" s="82"/>
      <c r="J107" s="117"/>
      <c r="K107" s="117"/>
      <c r="L107" s="82"/>
      <c r="M107" s="82"/>
      <c r="N107" s="82"/>
      <c r="O107" s="82"/>
      <c r="P107" s="82"/>
    </row>
    <row r="108" spans="1:16" ht="19.5" customHeight="1" x14ac:dyDescent="0.2">
      <c r="A108" s="83" t="s">
        <v>4</v>
      </c>
      <c r="B108" s="84" t="s">
        <v>65</v>
      </c>
      <c r="C108" s="85"/>
      <c r="D108" s="85"/>
      <c r="E108" s="85"/>
      <c r="F108" s="255"/>
      <c r="G108" s="255"/>
      <c r="H108" s="85"/>
      <c r="I108" s="85"/>
      <c r="J108" s="85"/>
      <c r="K108" s="117"/>
      <c r="L108" s="82"/>
      <c r="M108" s="82"/>
      <c r="N108" s="82"/>
      <c r="O108" s="82"/>
      <c r="P108" s="82"/>
    </row>
    <row r="109" spans="1:16" ht="19.5" customHeight="1" x14ac:dyDescent="0.2">
      <c r="A109" s="82"/>
      <c r="B109" s="82"/>
      <c r="C109" s="82"/>
      <c r="D109" s="82"/>
      <c r="E109" s="82"/>
      <c r="F109" s="117"/>
      <c r="G109" s="117"/>
      <c r="H109" s="82"/>
      <c r="I109" s="119"/>
      <c r="J109" s="82"/>
      <c r="K109" s="117"/>
      <c r="L109" s="82"/>
      <c r="M109" s="82"/>
      <c r="N109" s="82"/>
      <c r="O109" s="82"/>
      <c r="P109" s="82"/>
    </row>
    <row r="110" spans="1:16" ht="19.5" customHeight="1" x14ac:dyDescent="0.2">
      <c r="A110" s="120" t="s">
        <v>6</v>
      </c>
      <c r="B110" s="121">
        <v>2018</v>
      </c>
      <c r="C110" s="120" t="s">
        <v>7</v>
      </c>
      <c r="D110" s="122" t="s">
        <v>66</v>
      </c>
      <c r="E110" s="120" t="s">
        <v>9</v>
      </c>
      <c r="F110" s="123" t="s">
        <v>67</v>
      </c>
      <c r="G110" s="120" t="s">
        <v>11</v>
      </c>
      <c r="H110" s="121">
        <v>4</v>
      </c>
      <c r="I110" s="120" t="s">
        <v>12</v>
      </c>
      <c r="J110" s="122" t="s">
        <v>13</v>
      </c>
      <c r="K110" s="117"/>
      <c r="L110" s="82"/>
      <c r="M110" s="82"/>
      <c r="N110" s="82"/>
      <c r="O110" s="82"/>
      <c r="P110" s="82"/>
    </row>
    <row r="111" spans="1:16" ht="19.5" customHeight="1" x14ac:dyDescent="0.2">
      <c r="A111" s="120" t="s">
        <v>6</v>
      </c>
      <c r="B111" s="121">
        <v>2023</v>
      </c>
      <c r="C111" s="120" t="s">
        <v>7</v>
      </c>
      <c r="D111" s="122" t="s">
        <v>68</v>
      </c>
      <c r="E111" s="120" t="s">
        <v>9</v>
      </c>
      <c r="F111" s="123" t="s">
        <v>67</v>
      </c>
      <c r="G111" s="120" t="s">
        <v>11</v>
      </c>
      <c r="H111" s="121">
        <v>4</v>
      </c>
      <c r="I111" s="120" t="s">
        <v>12</v>
      </c>
      <c r="J111" s="122" t="s">
        <v>13</v>
      </c>
      <c r="K111" s="117"/>
      <c r="L111" s="82"/>
      <c r="M111" s="82"/>
      <c r="N111" s="82"/>
      <c r="O111" s="82"/>
      <c r="P111" s="82"/>
    </row>
    <row r="112" spans="1:16" ht="19.5" customHeight="1" x14ac:dyDescent="0.2">
      <c r="A112" s="124" t="s">
        <v>16</v>
      </c>
      <c r="B112" s="94" t="s">
        <v>17</v>
      </c>
      <c r="C112" s="94" t="s">
        <v>18</v>
      </c>
      <c r="D112" s="512" t="s">
        <v>19</v>
      </c>
      <c r="E112" s="455"/>
      <c r="F112" s="94" t="s">
        <v>20</v>
      </c>
      <c r="G112" s="94"/>
      <c r="H112" s="94" t="s">
        <v>21</v>
      </c>
      <c r="I112" s="94" t="s">
        <v>22</v>
      </c>
      <c r="J112" s="94" t="s">
        <v>23</v>
      </c>
      <c r="K112" s="117"/>
      <c r="L112" s="82"/>
      <c r="M112" s="82"/>
      <c r="N112" s="82"/>
      <c r="O112" s="82"/>
      <c r="P112" s="82"/>
    </row>
    <row r="113" spans="1:16" ht="19.5" customHeight="1" x14ac:dyDescent="0.2">
      <c r="A113" s="465" t="s">
        <v>24</v>
      </c>
      <c r="B113" s="125" t="s">
        <v>17</v>
      </c>
      <c r="C113" s="126" t="s">
        <v>32</v>
      </c>
      <c r="D113" s="127">
        <v>0.33333333333333331</v>
      </c>
      <c r="E113" s="127">
        <v>0.45833333333333331</v>
      </c>
      <c r="F113" s="296" t="s">
        <v>69</v>
      </c>
      <c r="G113" s="129"/>
      <c r="H113" s="449">
        <v>5</v>
      </c>
      <c r="I113" s="440">
        <v>25</v>
      </c>
      <c r="J113" s="502">
        <f>SUM(H113:I113)</f>
        <v>30</v>
      </c>
      <c r="K113" s="513"/>
      <c r="L113" s="130"/>
      <c r="M113" s="82"/>
      <c r="N113" s="82"/>
      <c r="O113" s="82"/>
      <c r="P113" s="82"/>
    </row>
    <row r="114" spans="1:16" ht="19.5" customHeight="1" x14ac:dyDescent="0.2">
      <c r="A114" s="444"/>
      <c r="B114" s="125" t="s">
        <v>37</v>
      </c>
      <c r="C114" s="126" t="s">
        <v>32</v>
      </c>
      <c r="D114" s="127">
        <v>0.45833333333333331</v>
      </c>
      <c r="E114" s="127">
        <v>0.54166666666666663</v>
      </c>
      <c r="F114" s="296" t="s">
        <v>69</v>
      </c>
      <c r="G114" s="129"/>
      <c r="H114" s="450"/>
      <c r="I114" s="450"/>
      <c r="J114" s="503"/>
      <c r="K114" s="514"/>
      <c r="L114" s="82"/>
      <c r="M114" s="82"/>
      <c r="N114" s="82"/>
      <c r="O114" s="82"/>
      <c r="P114" s="82"/>
    </row>
    <row r="115" spans="1:16" ht="19.5" customHeight="1" x14ac:dyDescent="0.2">
      <c r="A115" s="485" t="s">
        <v>27</v>
      </c>
      <c r="B115" s="125" t="s">
        <v>17</v>
      </c>
      <c r="C115" s="126" t="s">
        <v>32</v>
      </c>
      <c r="D115" s="127">
        <v>0.33333333333333331</v>
      </c>
      <c r="E115" s="127">
        <v>0.45833333333333331</v>
      </c>
      <c r="F115" s="296" t="s">
        <v>70</v>
      </c>
      <c r="G115" s="129"/>
      <c r="H115" s="449">
        <v>5</v>
      </c>
      <c r="I115" s="440">
        <v>25</v>
      </c>
      <c r="J115" s="502">
        <f>SUM(H115:I115)</f>
        <v>30</v>
      </c>
      <c r="K115" s="527"/>
      <c r="L115" s="82"/>
      <c r="M115" s="82"/>
      <c r="N115" s="82"/>
      <c r="O115" s="82"/>
      <c r="P115" s="82"/>
    </row>
    <row r="116" spans="1:16" ht="19.5" customHeight="1" x14ac:dyDescent="0.2">
      <c r="A116" s="444"/>
      <c r="B116" s="125" t="s">
        <v>37</v>
      </c>
      <c r="C116" s="126" t="s">
        <v>32</v>
      </c>
      <c r="D116" s="127">
        <v>0.45833333333333331</v>
      </c>
      <c r="E116" s="127">
        <v>0.54166666666666663</v>
      </c>
      <c r="F116" s="296" t="s">
        <v>70</v>
      </c>
      <c r="G116" s="129"/>
      <c r="H116" s="450"/>
      <c r="I116" s="450"/>
      <c r="J116" s="503"/>
      <c r="K116" s="528"/>
      <c r="L116" s="82"/>
      <c r="M116" s="82"/>
      <c r="N116" s="82"/>
      <c r="O116" s="82"/>
      <c r="P116" s="82"/>
    </row>
    <row r="117" spans="1:16" ht="19.5" customHeight="1" x14ac:dyDescent="0.2">
      <c r="A117" s="497" t="s">
        <v>28</v>
      </c>
      <c r="B117" s="125" t="s">
        <v>17</v>
      </c>
      <c r="C117" s="126" t="s">
        <v>32</v>
      </c>
      <c r="D117" s="127">
        <v>0.33333333333333331</v>
      </c>
      <c r="E117" s="336">
        <v>0.45833333333333331</v>
      </c>
      <c r="F117" s="309" t="s">
        <v>377</v>
      </c>
      <c r="G117" s="129"/>
      <c r="H117" s="449">
        <v>5</v>
      </c>
      <c r="I117" s="440">
        <v>25</v>
      </c>
      <c r="J117" s="502">
        <f>SUM(H117:I117)</f>
        <v>30</v>
      </c>
      <c r="K117" s="527"/>
      <c r="L117" s="82"/>
      <c r="M117" s="82"/>
      <c r="N117" s="82"/>
      <c r="O117" s="82"/>
      <c r="P117" s="82"/>
    </row>
    <row r="118" spans="1:16" ht="19.5" customHeight="1" x14ac:dyDescent="0.2">
      <c r="A118" s="444"/>
      <c r="B118" s="125" t="s">
        <v>37</v>
      </c>
      <c r="C118" s="126" t="s">
        <v>32</v>
      </c>
      <c r="D118" s="127">
        <v>0.45833333333333331</v>
      </c>
      <c r="E118" s="336">
        <v>0.54166666666666663</v>
      </c>
      <c r="F118" s="309" t="s">
        <v>377</v>
      </c>
      <c r="G118" s="129"/>
      <c r="H118" s="450"/>
      <c r="I118" s="450"/>
      <c r="J118" s="503"/>
      <c r="K118" s="528"/>
      <c r="L118" s="82"/>
      <c r="M118" s="82"/>
      <c r="N118" s="82"/>
      <c r="O118" s="82"/>
      <c r="P118" s="82"/>
    </row>
    <row r="119" spans="1:16" s="353" customFormat="1" ht="19.5" customHeight="1" x14ac:dyDescent="0.2">
      <c r="A119" s="384"/>
      <c r="B119" s="402"/>
      <c r="C119" s="425"/>
      <c r="D119" s="404"/>
      <c r="E119" s="413"/>
      <c r="F119" s="433"/>
      <c r="G119" s="406"/>
      <c r="H119" s="384"/>
      <c r="I119" s="384"/>
      <c r="J119" s="384">
        <v>90</v>
      </c>
      <c r="K119" s="424"/>
      <c r="L119" s="82"/>
      <c r="M119" s="82"/>
      <c r="N119" s="82"/>
      <c r="O119" s="82"/>
      <c r="P119" s="82"/>
    </row>
    <row r="120" spans="1:16" ht="19.5" customHeight="1" x14ac:dyDescent="0.2">
      <c r="A120" s="8"/>
      <c r="B120" s="82"/>
      <c r="C120" s="82"/>
      <c r="D120" s="82"/>
      <c r="E120" s="82"/>
      <c r="F120" s="310"/>
      <c r="G120" s="117"/>
      <c r="H120" s="82"/>
      <c r="I120" s="82"/>
      <c r="J120" s="117"/>
      <c r="K120" s="117"/>
      <c r="L120" s="82"/>
      <c r="M120" s="82"/>
      <c r="N120" s="82"/>
      <c r="O120" s="82"/>
      <c r="P120" s="82"/>
    </row>
    <row r="121" spans="1:16" ht="19.5" customHeight="1" x14ac:dyDescent="0.2">
      <c r="A121" s="131" t="s">
        <v>6</v>
      </c>
      <c r="B121" s="121">
        <v>2018</v>
      </c>
      <c r="C121" s="131" t="s">
        <v>7</v>
      </c>
      <c r="D121" s="122" t="s">
        <v>71</v>
      </c>
      <c r="E121" s="131" t="s">
        <v>9</v>
      </c>
      <c r="F121" s="132" t="s">
        <v>72</v>
      </c>
      <c r="G121" s="120" t="s">
        <v>11</v>
      </c>
      <c r="H121" s="121">
        <v>3</v>
      </c>
      <c r="I121" s="131" t="s">
        <v>12</v>
      </c>
      <c r="J121" s="121"/>
      <c r="K121" s="117"/>
      <c r="L121" s="82"/>
      <c r="M121" s="82"/>
      <c r="N121" s="82"/>
      <c r="O121" s="82"/>
      <c r="P121" s="82"/>
    </row>
    <row r="122" spans="1:16" ht="19.5" customHeight="1" x14ac:dyDescent="0.2">
      <c r="A122" s="131" t="s">
        <v>6</v>
      </c>
      <c r="B122" s="121">
        <v>2023</v>
      </c>
      <c r="C122" s="131" t="s">
        <v>7</v>
      </c>
      <c r="D122" s="122" t="s">
        <v>73</v>
      </c>
      <c r="E122" s="131" t="s">
        <v>9</v>
      </c>
      <c r="F122" s="123" t="s">
        <v>74</v>
      </c>
      <c r="G122" s="120" t="s">
        <v>11</v>
      </c>
      <c r="H122" s="121">
        <v>4</v>
      </c>
      <c r="I122" s="131" t="s">
        <v>12</v>
      </c>
      <c r="J122" s="121" t="s">
        <v>13</v>
      </c>
      <c r="K122" s="117"/>
      <c r="L122" s="82"/>
      <c r="M122" s="82"/>
      <c r="N122" s="82"/>
      <c r="O122" s="82"/>
      <c r="P122" s="82"/>
    </row>
    <row r="123" spans="1:16" ht="19.5" customHeight="1" x14ac:dyDescent="0.2">
      <c r="A123" s="92" t="s">
        <v>16</v>
      </c>
      <c r="B123" s="93" t="s">
        <v>17</v>
      </c>
      <c r="C123" s="93" t="s">
        <v>18</v>
      </c>
      <c r="D123" s="454" t="s">
        <v>19</v>
      </c>
      <c r="E123" s="455"/>
      <c r="F123" s="94" t="s">
        <v>20</v>
      </c>
      <c r="G123" s="94"/>
      <c r="H123" s="93" t="s">
        <v>21</v>
      </c>
      <c r="I123" s="93" t="s">
        <v>22</v>
      </c>
      <c r="J123" s="94" t="s">
        <v>23</v>
      </c>
      <c r="K123" s="117"/>
      <c r="L123" s="82"/>
      <c r="M123" s="82"/>
      <c r="N123" s="82"/>
      <c r="O123" s="82"/>
      <c r="P123" s="82"/>
    </row>
    <row r="124" spans="1:16" ht="19.5" customHeight="1" x14ac:dyDescent="0.2">
      <c r="A124" s="465" t="s">
        <v>24</v>
      </c>
      <c r="B124" s="125" t="s">
        <v>17</v>
      </c>
      <c r="C124" s="126" t="s">
        <v>32</v>
      </c>
      <c r="D124" s="363">
        <v>0.54166666666666663</v>
      </c>
      <c r="E124" s="363">
        <v>0.66666666666666663</v>
      </c>
      <c r="F124" s="351" t="s">
        <v>408</v>
      </c>
      <c r="G124" s="129"/>
      <c r="H124" s="449">
        <v>5</v>
      </c>
      <c r="I124" s="440">
        <v>25</v>
      </c>
      <c r="J124" s="451">
        <f>SUM(H124:I124)</f>
        <v>30</v>
      </c>
      <c r="K124" s="452"/>
      <c r="L124" s="130"/>
      <c r="M124" s="130"/>
      <c r="N124" s="130"/>
      <c r="O124" s="82"/>
      <c r="P124" s="82"/>
    </row>
    <row r="125" spans="1:16" ht="19.5" customHeight="1" x14ac:dyDescent="0.2">
      <c r="A125" s="498"/>
      <c r="B125" s="125" t="s">
        <v>37</v>
      </c>
      <c r="C125" s="126" t="s">
        <v>32</v>
      </c>
      <c r="D125" s="363">
        <v>0.66666666666666663</v>
      </c>
      <c r="E125" s="363">
        <v>0.75</v>
      </c>
      <c r="F125" s="351" t="s">
        <v>408</v>
      </c>
      <c r="G125" s="262"/>
      <c r="H125" s="450"/>
      <c r="I125" s="450"/>
      <c r="J125" s="450"/>
      <c r="K125" s="493"/>
      <c r="L125" s="82"/>
      <c r="M125" s="82"/>
      <c r="N125" s="82"/>
      <c r="O125" s="82"/>
      <c r="P125" s="82"/>
    </row>
    <row r="126" spans="1:16" ht="19.5" customHeight="1" x14ac:dyDescent="0.2">
      <c r="A126" s="499" t="s">
        <v>27</v>
      </c>
      <c r="B126" s="125" t="s">
        <v>17</v>
      </c>
      <c r="C126" s="126" t="s">
        <v>48</v>
      </c>
      <c r="D126" s="133">
        <v>0.33333333333333331</v>
      </c>
      <c r="E126" s="133">
        <v>0.45833333333333331</v>
      </c>
      <c r="F126" s="351" t="s">
        <v>409</v>
      </c>
      <c r="G126" s="262"/>
      <c r="H126" s="449">
        <v>5</v>
      </c>
      <c r="I126" s="440">
        <v>25</v>
      </c>
      <c r="J126" s="507">
        <f>SUM(H126:I126)</f>
        <v>30</v>
      </c>
      <c r="K126" s="527"/>
      <c r="L126" s="82"/>
      <c r="M126" s="82"/>
      <c r="N126" s="82"/>
      <c r="O126" s="82"/>
      <c r="P126" s="82"/>
    </row>
    <row r="127" spans="1:16" ht="19.5" customHeight="1" x14ac:dyDescent="0.2">
      <c r="A127" s="500"/>
      <c r="B127" s="125" t="s">
        <v>37</v>
      </c>
      <c r="C127" s="126" t="s">
        <v>48</v>
      </c>
      <c r="D127" s="133">
        <v>0.45833333333333331</v>
      </c>
      <c r="E127" s="133">
        <v>0.54166666666666663</v>
      </c>
      <c r="F127" s="351" t="s">
        <v>409</v>
      </c>
      <c r="G127" s="262"/>
      <c r="H127" s="450"/>
      <c r="I127" s="450"/>
      <c r="J127" s="503"/>
      <c r="K127" s="528"/>
      <c r="L127" s="82"/>
      <c r="M127" s="82"/>
      <c r="N127" s="82"/>
      <c r="O127" s="82"/>
      <c r="P127" s="82"/>
    </row>
    <row r="128" spans="1:16" s="353" customFormat="1" ht="19.5" customHeight="1" x14ac:dyDescent="0.2">
      <c r="A128" s="431"/>
      <c r="B128" s="402"/>
      <c r="C128" s="425"/>
      <c r="D128" s="426"/>
      <c r="E128" s="426"/>
      <c r="F128" s="432"/>
      <c r="G128" s="406"/>
      <c r="H128" s="384"/>
      <c r="I128" s="384"/>
      <c r="J128" s="384">
        <v>60</v>
      </c>
      <c r="K128" s="424"/>
      <c r="L128" s="82"/>
      <c r="M128" s="82"/>
      <c r="N128" s="82"/>
      <c r="O128" s="82"/>
      <c r="P128" s="82"/>
    </row>
    <row r="129" spans="1:16" ht="19.5" customHeight="1" x14ac:dyDescent="0.2">
      <c r="A129" s="117"/>
      <c r="B129" s="117"/>
      <c r="C129" s="117"/>
      <c r="D129" s="117"/>
      <c r="E129" s="117"/>
      <c r="F129" s="117"/>
      <c r="G129" s="117"/>
      <c r="H129" s="82"/>
      <c r="I129" s="82"/>
      <c r="J129" s="117"/>
      <c r="K129" s="117"/>
      <c r="L129" s="82"/>
      <c r="M129" s="82"/>
      <c r="N129" s="82"/>
      <c r="O129" s="82"/>
      <c r="P129" s="82"/>
    </row>
    <row r="130" spans="1:16" ht="19.5" customHeight="1" x14ac:dyDescent="0.2">
      <c r="A130" s="131" t="s">
        <v>6</v>
      </c>
      <c r="B130" s="121">
        <v>2018</v>
      </c>
      <c r="C130" s="131" t="s">
        <v>7</v>
      </c>
      <c r="D130" s="122" t="s">
        <v>76</v>
      </c>
      <c r="E130" s="131" t="s">
        <v>9</v>
      </c>
      <c r="F130" s="123" t="s">
        <v>77</v>
      </c>
      <c r="G130" s="120" t="s">
        <v>11</v>
      </c>
      <c r="H130" s="121">
        <v>3</v>
      </c>
      <c r="I130" s="131" t="s">
        <v>12</v>
      </c>
      <c r="J130" s="121" t="s">
        <v>13</v>
      </c>
      <c r="K130" s="117"/>
      <c r="L130" s="82"/>
      <c r="M130" s="82"/>
      <c r="N130" s="82"/>
      <c r="O130" s="82"/>
      <c r="P130" s="82"/>
    </row>
    <row r="131" spans="1:16" ht="19.5" customHeight="1" x14ac:dyDescent="0.2">
      <c r="A131" s="131" t="s">
        <v>6</v>
      </c>
      <c r="B131" s="121">
        <v>2023</v>
      </c>
      <c r="C131" s="131" t="s">
        <v>7</v>
      </c>
      <c r="D131" s="122" t="s">
        <v>78</v>
      </c>
      <c r="E131" s="131" t="s">
        <v>9</v>
      </c>
      <c r="F131" s="123" t="s">
        <v>77</v>
      </c>
      <c r="G131" s="120" t="s">
        <v>11</v>
      </c>
      <c r="H131" s="121">
        <v>3</v>
      </c>
      <c r="I131" s="131" t="s">
        <v>12</v>
      </c>
      <c r="J131" s="121" t="s">
        <v>13</v>
      </c>
      <c r="K131" s="117"/>
      <c r="L131" s="82"/>
      <c r="M131" s="82"/>
      <c r="N131" s="82"/>
      <c r="O131" s="82"/>
      <c r="P131" s="82"/>
    </row>
    <row r="132" spans="1:16" ht="19.5" customHeight="1" x14ac:dyDescent="0.2">
      <c r="A132" s="134" t="s">
        <v>16</v>
      </c>
      <c r="B132" s="135" t="s">
        <v>17</v>
      </c>
      <c r="C132" s="135" t="s">
        <v>18</v>
      </c>
      <c r="D132" s="525" t="s">
        <v>19</v>
      </c>
      <c r="E132" s="455"/>
      <c r="F132" s="136" t="s">
        <v>20</v>
      </c>
      <c r="G132" s="136"/>
      <c r="H132" s="135" t="s">
        <v>21</v>
      </c>
      <c r="I132" s="135" t="s">
        <v>22</v>
      </c>
      <c r="J132" s="136" t="s">
        <v>23</v>
      </c>
      <c r="K132" s="117"/>
      <c r="L132" s="82"/>
      <c r="M132" s="82"/>
      <c r="N132" s="82"/>
      <c r="O132" s="82"/>
      <c r="P132" s="82"/>
    </row>
    <row r="133" spans="1:16" ht="19.5" customHeight="1" x14ac:dyDescent="0.2">
      <c r="A133" s="501" t="s">
        <v>24</v>
      </c>
      <c r="B133" s="137" t="s">
        <v>17</v>
      </c>
      <c r="C133" s="138" t="s">
        <v>25</v>
      </c>
      <c r="D133" s="127">
        <v>0.33333333333333331</v>
      </c>
      <c r="E133" s="127">
        <v>0.41666666666666669</v>
      </c>
      <c r="F133" s="350" t="s">
        <v>406</v>
      </c>
      <c r="G133" s="264"/>
      <c r="H133" s="458">
        <v>5</v>
      </c>
      <c r="I133" s="459">
        <v>25</v>
      </c>
      <c r="J133" s="456">
        <f>SUM(H133:I133)</f>
        <v>30</v>
      </c>
      <c r="K133" s="529"/>
      <c r="L133" s="82"/>
      <c r="M133" s="82"/>
      <c r="N133" s="82"/>
      <c r="O133" s="82"/>
      <c r="P133" s="82"/>
    </row>
    <row r="134" spans="1:16" ht="19.5" customHeight="1" x14ac:dyDescent="0.2">
      <c r="A134" s="444"/>
      <c r="B134" s="137" t="s">
        <v>37</v>
      </c>
      <c r="C134" s="138" t="s">
        <v>25</v>
      </c>
      <c r="D134" s="127">
        <v>0.41666666666666669</v>
      </c>
      <c r="E134" s="127">
        <v>0.5</v>
      </c>
      <c r="F134" s="350" t="s">
        <v>406</v>
      </c>
      <c r="G134" s="264"/>
      <c r="H134" s="457"/>
      <c r="I134" s="457"/>
      <c r="J134" s="457"/>
      <c r="K134" s="493"/>
      <c r="L134" s="82"/>
      <c r="M134" s="82"/>
      <c r="N134" s="82"/>
      <c r="O134" s="82"/>
      <c r="P134" s="82"/>
    </row>
    <row r="135" spans="1:16" ht="19.5" customHeight="1" x14ac:dyDescent="0.2">
      <c r="A135" s="501" t="s">
        <v>27</v>
      </c>
      <c r="B135" s="137" t="s">
        <v>17</v>
      </c>
      <c r="C135" s="138" t="s">
        <v>25</v>
      </c>
      <c r="D135" s="127">
        <v>0.33333333333333331</v>
      </c>
      <c r="E135" s="127">
        <v>0.41666666666666669</v>
      </c>
      <c r="F135" s="350" t="s">
        <v>407</v>
      </c>
      <c r="G135" s="264"/>
      <c r="H135" s="458">
        <v>5</v>
      </c>
      <c r="I135" s="459">
        <v>25</v>
      </c>
      <c r="J135" s="530">
        <f>SUM(H135:I135)</f>
        <v>30</v>
      </c>
      <c r="K135" s="527"/>
      <c r="L135" s="82"/>
      <c r="M135" s="82"/>
      <c r="N135" s="82"/>
      <c r="O135" s="82"/>
      <c r="P135" s="82"/>
    </row>
    <row r="136" spans="1:16" ht="19.5" customHeight="1" x14ac:dyDescent="0.2">
      <c r="A136" s="444"/>
      <c r="B136" s="137" t="s">
        <v>37</v>
      </c>
      <c r="C136" s="138" t="s">
        <v>25</v>
      </c>
      <c r="D136" s="127">
        <v>0.41666666666666669</v>
      </c>
      <c r="E136" s="127">
        <v>0.5</v>
      </c>
      <c r="F136" s="350" t="s">
        <v>407</v>
      </c>
      <c r="G136" s="264"/>
      <c r="H136" s="457"/>
      <c r="I136" s="457"/>
      <c r="J136" s="503"/>
      <c r="K136" s="528"/>
      <c r="L136" s="82"/>
      <c r="M136" s="82"/>
      <c r="N136" s="82"/>
      <c r="O136" s="82"/>
      <c r="P136" s="82"/>
    </row>
    <row r="137" spans="1:16" s="353" customFormat="1" ht="19.5" customHeight="1" x14ac:dyDescent="0.2">
      <c r="A137" s="384"/>
      <c r="B137" s="407"/>
      <c r="C137" s="403"/>
      <c r="D137" s="404"/>
      <c r="E137" s="404"/>
      <c r="F137" s="429"/>
      <c r="G137" s="430"/>
      <c r="H137" s="384"/>
      <c r="I137" s="384"/>
      <c r="J137" s="384">
        <v>60</v>
      </c>
      <c r="K137" s="424"/>
      <c r="L137" s="82"/>
      <c r="M137" s="82"/>
      <c r="N137" s="82"/>
      <c r="O137" s="82"/>
      <c r="P137" s="82"/>
    </row>
    <row r="138" spans="1:16" ht="19.5" customHeight="1" x14ac:dyDescent="0.2">
      <c r="A138" s="82"/>
      <c r="B138" s="82"/>
      <c r="C138" s="82"/>
      <c r="D138" s="82"/>
      <c r="E138" s="82"/>
      <c r="F138" s="117"/>
      <c r="G138" s="117"/>
      <c r="H138" s="82"/>
      <c r="I138" s="82"/>
      <c r="J138" s="117"/>
      <c r="K138" s="117"/>
      <c r="L138" s="82"/>
      <c r="M138" s="82"/>
      <c r="N138" s="82"/>
      <c r="O138" s="82"/>
      <c r="P138" s="82"/>
    </row>
    <row r="139" spans="1:16" ht="19.5" customHeight="1" x14ac:dyDescent="0.2">
      <c r="A139" s="131" t="s">
        <v>6</v>
      </c>
      <c r="B139" s="121">
        <v>2018</v>
      </c>
      <c r="C139" s="131" t="s">
        <v>7</v>
      </c>
      <c r="D139" s="122" t="s">
        <v>79</v>
      </c>
      <c r="E139" s="131" t="s">
        <v>9</v>
      </c>
      <c r="F139" s="123" t="s">
        <v>80</v>
      </c>
      <c r="G139" s="120" t="s">
        <v>11</v>
      </c>
      <c r="H139" s="121">
        <v>3</v>
      </c>
      <c r="I139" s="131" t="s">
        <v>12</v>
      </c>
      <c r="J139" s="122" t="s">
        <v>13</v>
      </c>
      <c r="K139" s="117"/>
      <c r="L139" s="82"/>
      <c r="M139" s="82"/>
      <c r="N139" s="82"/>
      <c r="O139" s="82"/>
      <c r="P139" s="82"/>
    </row>
    <row r="140" spans="1:16" ht="19.5" customHeight="1" x14ac:dyDescent="0.2">
      <c r="A140" s="131" t="s">
        <v>6</v>
      </c>
      <c r="B140" s="121">
        <v>2023</v>
      </c>
      <c r="C140" s="131" t="s">
        <v>7</v>
      </c>
      <c r="D140" s="122" t="s">
        <v>81</v>
      </c>
      <c r="E140" s="131" t="s">
        <v>9</v>
      </c>
      <c r="F140" s="123" t="s">
        <v>80</v>
      </c>
      <c r="G140" s="120" t="s">
        <v>11</v>
      </c>
      <c r="H140" s="121">
        <v>3</v>
      </c>
      <c r="I140" s="131" t="s">
        <v>12</v>
      </c>
      <c r="J140" s="122" t="s">
        <v>13</v>
      </c>
      <c r="K140" s="117"/>
      <c r="L140" s="82"/>
      <c r="M140" s="82"/>
      <c r="N140" s="82"/>
      <c r="O140" s="82"/>
      <c r="P140" s="82"/>
    </row>
    <row r="141" spans="1:16" ht="19.5" customHeight="1" x14ac:dyDescent="0.2">
      <c r="A141" s="92" t="s">
        <v>16</v>
      </c>
      <c r="B141" s="93" t="s">
        <v>17</v>
      </c>
      <c r="C141" s="93" t="s">
        <v>18</v>
      </c>
      <c r="D141" s="454" t="s">
        <v>19</v>
      </c>
      <c r="E141" s="455"/>
      <c r="F141" s="94" t="s">
        <v>20</v>
      </c>
      <c r="G141" s="94"/>
      <c r="H141" s="93" t="s">
        <v>21</v>
      </c>
      <c r="I141" s="93" t="s">
        <v>22</v>
      </c>
      <c r="J141" s="94" t="s">
        <v>23</v>
      </c>
      <c r="K141" s="117"/>
      <c r="L141" s="82"/>
      <c r="M141" s="82"/>
      <c r="N141" s="82"/>
      <c r="O141" s="82"/>
      <c r="P141" s="82"/>
    </row>
    <row r="142" spans="1:16" ht="19.5" customHeight="1" x14ac:dyDescent="0.2">
      <c r="A142" s="465" t="s">
        <v>24</v>
      </c>
      <c r="B142" s="125" t="s">
        <v>17</v>
      </c>
      <c r="C142" s="126" t="s">
        <v>82</v>
      </c>
      <c r="D142" s="133">
        <v>0.33333333333333331</v>
      </c>
      <c r="E142" s="133">
        <v>0.41666666666666669</v>
      </c>
      <c r="F142" s="260"/>
      <c r="G142" s="265"/>
      <c r="H142" s="449">
        <v>5</v>
      </c>
      <c r="I142" s="440">
        <v>25</v>
      </c>
      <c r="J142" s="451">
        <f>SUM(H142:I142)</f>
        <v>30</v>
      </c>
      <c r="K142" s="452"/>
      <c r="L142" s="82"/>
      <c r="M142" s="118"/>
      <c r="N142" s="82"/>
      <c r="O142" s="82"/>
      <c r="P142" s="82"/>
    </row>
    <row r="143" spans="1:16" ht="19.5" customHeight="1" x14ac:dyDescent="0.2">
      <c r="A143" s="444"/>
      <c r="B143" s="125" t="s">
        <v>26</v>
      </c>
      <c r="C143" s="126" t="s">
        <v>82</v>
      </c>
      <c r="D143" s="133">
        <v>0.41666666666666669</v>
      </c>
      <c r="E143" s="133">
        <v>0.5</v>
      </c>
      <c r="F143" s="260"/>
      <c r="G143" s="265"/>
      <c r="H143" s="450"/>
      <c r="I143" s="450"/>
      <c r="J143" s="450"/>
      <c r="K143" s="493"/>
      <c r="L143" s="82"/>
      <c r="M143" s="82"/>
      <c r="N143" s="82"/>
      <c r="O143" s="82"/>
      <c r="P143" s="82"/>
    </row>
    <row r="144" spans="1:16" ht="19.5" customHeight="1" x14ac:dyDescent="0.2">
      <c r="A144" s="485" t="s">
        <v>27</v>
      </c>
      <c r="B144" s="125" t="s">
        <v>17</v>
      </c>
      <c r="C144" s="126" t="s">
        <v>82</v>
      </c>
      <c r="D144" s="133">
        <v>0.33333333333333331</v>
      </c>
      <c r="E144" s="133">
        <v>0.41666666666666669</v>
      </c>
      <c r="F144" s="260"/>
      <c r="G144" s="265"/>
      <c r="H144" s="449">
        <v>5</v>
      </c>
      <c r="I144" s="440">
        <v>25</v>
      </c>
      <c r="J144" s="507">
        <f>SUM(H144:I144)</f>
        <v>30</v>
      </c>
      <c r="K144" s="527"/>
      <c r="L144" s="82"/>
      <c r="M144" s="82"/>
      <c r="N144" s="82"/>
      <c r="O144" s="82"/>
      <c r="P144" s="82"/>
    </row>
    <row r="145" spans="1:16" ht="19.5" customHeight="1" x14ac:dyDescent="0.2">
      <c r="A145" s="444"/>
      <c r="B145" s="125" t="s">
        <v>26</v>
      </c>
      <c r="C145" s="126" t="s">
        <v>82</v>
      </c>
      <c r="D145" s="133">
        <v>0.41666666666666669</v>
      </c>
      <c r="E145" s="133">
        <v>0.5</v>
      </c>
      <c r="F145" s="260"/>
      <c r="G145" s="265"/>
      <c r="H145" s="450"/>
      <c r="I145" s="450"/>
      <c r="J145" s="503"/>
      <c r="K145" s="528"/>
      <c r="L145" s="82"/>
      <c r="M145" s="82"/>
      <c r="N145" s="82"/>
      <c r="O145" s="82"/>
      <c r="P145" s="82"/>
    </row>
    <row r="146" spans="1:16" s="353" customFormat="1" ht="19.5" customHeight="1" x14ac:dyDescent="0.2">
      <c r="A146" s="384"/>
      <c r="B146" s="402"/>
      <c r="C146" s="425"/>
      <c r="D146" s="426"/>
      <c r="E146" s="426"/>
      <c r="F146" s="427"/>
      <c r="G146" s="428"/>
      <c r="H146" s="384"/>
      <c r="I146" s="384"/>
      <c r="J146" s="384">
        <v>60</v>
      </c>
      <c r="K146" s="424"/>
      <c r="L146" s="82"/>
      <c r="M146" s="82"/>
      <c r="N146" s="82"/>
      <c r="O146" s="82"/>
      <c r="P146" s="82"/>
    </row>
    <row r="147" spans="1:16" ht="19.5" customHeight="1" x14ac:dyDescent="0.2">
      <c r="A147" s="82"/>
      <c r="B147" s="82"/>
      <c r="C147" s="82"/>
      <c r="D147" s="82"/>
      <c r="E147" s="82"/>
      <c r="F147" s="129"/>
      <c r="G147" s="117"/>
      <c r="H147" s="82"/>
      <c r="I147" s="82"/>
      <c r="J147" s="117"/>
      <c r="K147" s="117"/>
      <c r="L147" s="82"/>
      <c r="M147" s="82"/>
      <c r="N147" s="82"/>
      <c r="O147" s="82"/>
      <c r="P147" s="82"/>
    </row>
    <row r="148" spans="1:16" ht="19.5" customHeight="1" x14ac:dyDescent="0.2">
      <c r="A148" s="131" t="s">
        <v>6</v>
      </c>
      <c r="B148" s="121">
        <v>2018</v>
      </c>
      <c r="C148" s="131" t="s">
        <v>7</v>
      </c>
      <c r="D148" s="122" t="s">
        <v>83</v>
      </c>
      <c r="E148" s="131" t="s">
        <v>9</v>
      </c>
      <c r="F148" s="123" t="s">
        <v>84</v>
      </c>
      <c r="G148" s="120" t="s">
        <v>11</v>
      </c>
      <c r="H148" s="121">
        <v>3</v>
      </c>
      <c r="I148" s="131" t="s">
        <v>12</v>
      </c>
      <c r="J148" s="122" t="s">
        <v>13</v>
      </c>
      <c r="K148" s="117"/>
      <c r="L148" s="82"/>
      <c r="M148" s="82"/>
      <c r="N148" s="82"/>
      <c r="O148" s="82"/>
      <c r="P148" s="82"/>
    </row>
    <row r="149" spans="1:16" ht="19.5" customHeight="1" x14ac:dyDescent="0.2">
      <c r="A149" s="131" t="s">
        <v>6</v>
      </c>
      <c r="B149" s="121">
        <v>2023</v>
      </c>
      <c r="C149" s="131" t="s">
        <v>7</v>
      </c>
      <c r="D149" s="122" t="s">
        <v>85</v>
      </c>
      <c r="E149" s="131" t="s">
        <v>9</v>
      </c>
      <c r="F149" s="123" t="s">
        <v>84</v>
      </c>
      <c r="G149" s="120" t="s">
        <v>11</v>
      </c>
      <c r="H149" s="121">
        <v>3</v>
      </c>
      <c r="I149" s="131" t="s">
        <v>12</v>
      </c>
      <c r="J149" s="122" t="s">
        <v>13</v>
      </c>
      <c r="K149" s="117"/>
      <c r="L149" s="82"/>
      <c r="M149" s="82"/>
      <c r="N149" s="82"/>
      <c r="O149" s="82"/>
      <c r="P149" s="82"/>
    </row>
    <row r="150" spans="1:16" ht="19.5" customHeight="1" x14ac:dyDescent="0.2">
      <c r="A150" s="92" t="s">
        <v>16</v>
      </c>
      <c r="B150" s="93" t="s">
        <v>17</v>
      </c>
      <c r="C150" s="93" t="s">
        <v>18</v>
      </c>
      <c r="D150" s="454" t="s">
        <v>19</v>
      </c>
      <c r="E150" s="455"/>
      <c r="F150" s="94" t="s">
        <v>20</v>
      </c>
      <c r="G150" s="94"/>
      <c r="H150" s="93" t="s">
        <v>21</v>
      </c>
      <c r="I150" s="93" t="s">
        <v>22</v>
      </c>
      <c r="J150" s="94" t="s">
        <v>23</v>
      </c>
      <c r="K150" s="117"/>
      <c r="L150" s="82"/>
      <c r="M150" s="82"/>
      <c r="N150" s="82"/>
      <c r="O150" s="82"/>
      <c r="P150" s="82"/>
    </row>
    <row r="151" spans="1:16" ht="19.5" customHeight="1" x14ac:dyDescent="0.2">
      <c r="A151" s="465" t="s">
        <v>24</v>
      </c>
      <c r="B151" s="125" t="s">
        <v>17</v>
      </c>
      <c r="C151" s="126" t="s">
        <v>48</v>
      </c>
      <c r="D151" s="133">
        <v>0.58333333333333337</v>
      </c>
      <c r="E151" s="133">
        <v>0.66666666666666663</v>
      </c>
      <c r="F151" s="296" t="s">
        <v>86</v>
      </c>
      <c r="G151" s="129"/>
      <c r="H151" s="449">
        <v>5</v>
      </c>
      <c r="I151" s="440">
        <v>25</v>
      </c>
      <c r="J151" s="451">
        <f>SUM(H151:I151)</f>
        <v>30</v>
      </c>
      <c r="K151" s="452"/>
      <c r="L151" s="139"/>
      <c r="M151" s="139"/>
      <c r="N151" s="139"/>
      <c r="O151" s="82"/>
      <c r="P151" s="82"/>
    </row>
    <row r="152" spans="1:16" ht="19.5" customHeight="1" x14ac:dyDescent="0.2">
      <c r="A152" s="444"/>
      <c r="B152" s="125" t="s">
        <v>37</v>
      </c>
      <c r="C152" s="126" t="s">
        <v>48</v>
      </c>
      <c r="D152" s="133">
        <v>0.66666666666666663</v>
      </c>
      <c r="E152" s="133">
        <v>0.75</v>
      </c>
      <c r="F152" s="296" t="s">
        <v>86</v>
      </c>
      <c r="G152" s="129"/>
      <c r="H152" s="450"/>
      <c r="I152" s="450"/>
      <c r="J152" s="450"/>
      <c r="K152" s="493"/>
      <c r="L152" s="82"/>
      <c r="M152" s="82"/>
      <c r="N152" s="82"/>
      <c r="O152" s="82"/>
      <c r="P152" s="82"/>
    </row>
    <row r="153" spans="1:16" ht="19.5" customHeight="1" x14ac:dyDescent="0.2">
      <c r="A153" s="485" t="s">
        <v>27</v>
      </c>
      <c r="B153" s="125" t="s">
        <v>17</v>
      </c>
      <c r="C153" s="364" t="s">
        <v>87</v>
      </c>
      <c r="D153" s="363">
        <v>0.33333333333333331</v>
      </c>
      <c r="E153" s="363">
        <v>0.41666666666666669</v>
      </c>
      <c r="F153" s="296" t="s">
        <v>88</v>
      </c>
      <c r="G153" s="129"/>
      <c r="H153" s="449">
        <v>5</v>
      </c>
      <c r="I153" s="440">
        <v>25</v>
      </c>
      <c r="J153" s="507">
        <f>SUM(H153:I153)</f>
        <v>30</v>
      </c>
      <c r="K153" s="527"/>
      <c r="L153" s="82"/>
      <c r="M153" s="82"/>
      <c r="N153" s="82"/>
      <c r="O153" s="82"/>
      <c r="P153" s="82"/>
    </row>
    <row r="154" spans="1:16" ht="19.5" customHeight="1" x14ac:dyDescent="0.2">
      <c r="A154" s="444"/>
      <c r="B154" s="125" t="s">
        <v>37</v>
      </c>
      <c r="C154" s="364" t="s">
        <v>87</v>
      </c>
      <c r="D154" s="363">
        <v>0.41666666666666669</v>
      </c>
      <c r="E154" s="363">
        <v>0.5</v>
      </c>
      <c r="F154" s="296" t="s">
        <v>88</v>
      </c>
      <c r="G154" s="129"/>
      <c r="H154" s="450"/>
      <c r="I154" s="450"/>
      <c r="J154" s="503"/>
      <c r="K154" s="528"/>
      <c r="L154" s="82"/>
      <c r="M154" s="82"/>
      <c r="N154" s="82"/>
      <c r="O154" s="82"/>
      <c r="P154" s="82"/>
    </row>
    <row r="155" spans="1:16" s="353" customFormat="1" ht="19.5" customHeight="1" x14ac:dyDescent="0.2">
      <c r="A155" s="384"/>
      <c r="B155" s="402"/>
      <c r="C155" s="421"/>
      <c r="D155" s="422"/>
      <c r="E155" s="422"/>
      <c r="F155" s="423"/>
      <c r="G155" s="406"/>
      <c r="H155" s="384"/>
      <c r="I155" s="384"/>
      <c r="J155" s="384">
        <v>60</v>
      </c>
      <c r="K155" s="424"/>
      <c r="L155" s="82"/>
      <c r="M155" s="82"/>
      <c r="N155" s="82"/>
      <c r="O155" s="82"/>
      <c r="P155" s="82"/>
    </row>
    <row r="156" spans="1:16" ht="19.5" customHeight="1" x14ac:dyDescent="0.2">
      <c r="A156" s="82"/>
      <c r="B156" s="82"/>
      <c r="C156" s="82"/>
      <c r="D156" s="82"/>
      <c r="E156" s="82"/>
      <c r="F156" s="117"/>
      <c r="G156" s="117"/>
      <c r="H156" s="82"/>
      <c r="I156" s="82"/>
      <c r="J156" s="117"/>
      <c r="K156" s="117"/>
      <c r="L156" s="82"/>
      <c r="M156" s="82"/>
      <c r="N156" s="82"/>
      <c r="O156" s="82"/>
      <c r="P156" s="82"/>
    </row>
    <row r="157" spans="1:16" ht="19.5" customHeight="1" x14ac:dyDescent="0.2">
      <c r="A157" s="131" t="s">
        <v>6</v>
      </c>
      <c r="B157" s="121">
        <v>2018</v>
      </c>
      <c r="C157" s="131" t="s">
        <v>7</v>
      </c>
      <c r="D157" s="122" t="s">
        <v>89</v>
      </c>
      <c r="E157" s="131" t="s">
        <v>9</v>
      </c>
      <c r="F157" s="123" t="s">
        <v>90</v>
      </c>
      <c r="G157" s="120" t="s">
        <v>11</v>
      </c>
      <c r="H157" s="121">
        <v>4</v>
      </c>
      <c r="I157" s="131" t="s">
        <v>12</v>
      </c>
      <c r="J157" s="121" t="s">
        <v>13</v>
      </c>
      <c r="K157" s="117"/>
      <c r="L157" s="82"/>
      <c r="M157" s="82"/>
      <c r="N157" s="82"/>
      <c r="O157" s="82"/>
      <c r="P157" s="82"/>
    </row>
    <row r="158" spans="1:16" ht="19.5" customHeight="1" x14ac:dyDescent="0.2">
      <c r="A158" s="131" t="s">
        <v>6</v>
      </c>
      <c r="B158" s="121">
        <v>2023</v>
      </c>
      <c r="C158" s="131" t="s">
        <v>7</v>
      </c>
      <c r="D158" s="122" t="s">
        <v>91</v>
      </c>
      <c r="E158" s="131" t="s">
        <v>9</v>
      </c>
      <c r="F158" s="123" t="s">
        <v>90</v>
      </c>
      <c r="G158" s="120" t="s">
        <v>11</v>
      </c>
      <c r="H158" s="121">
        <v>4</v>
      </c>
      <c r="I158" s="131" t="s">
        <v>12</v>
      </c>
      <c r="J158" s="121" t="s">
        <v>13</v>
      </c>
      <c r="K158" s="117"/>
      <c r="L158" s="82"/>
      <c r="M158" s="82"/>
      <c r="N158" s="82"/>
      <c r="O158" s="82"/>
      <c r="P158" s="82"/>
    </row>
    <row r="159" spans="1:16" ht="19.5" customHeight="1" x14ac:dyDescent="0.2">
      <c r="A159" s="92" t="s">
        <v>16</v>
      </c>
      <c r="B159" s="93" t="s">
        <v>17</v>
      </c>
      <c r="C159" s="93" t="s">
        <v>18</v>
      </c>
      <c r="D159" s="454" t="s">
        <v>19</v>
      </c>
      <c r="E159" s="455"/>
      <c r="F159" s="358" t="s">
        <v>20</v>
      </c>
      <c r="G159" s="94"/>
      <c r="H159" s="93" t="s">
        <v>21</v>
      </c>
      <c r="I159" s="93" t="s">
        <v>22</v>
      </c>
      <c r="J159" s="94" t="s">
        <v>23</v>
      </c>
      <c r="K159" s="117"/>
      <c r="L159" s="82"/>
      <c r="M159" s="82"/>
      <c r="N159" s="82"/>
      <c r="O159" s="82"/>
      <c r="P159" s="82"/>
    </row>
    <row r="160" spans="1:16" ht="19.5" customHeight="1" x14ac:dyDescent="0.25">
      <c r="A160" s="495" t="s">
        <v>24</v>
      </c>
      <c r="B160" s="140" t="s">
        <v>17</v>
      </c>
      <c r="C160" s="141" t="s">
        <v>92</v>
      </c>
      <c r="D160" s="142">
        <v>0.33333333333333331</v>
      </c>
      <c r="E160" s="357">
        <v>0.45833333333333331</v>
      </c>
      <c r="F160" s="359" t="s">
        <v>410</v>
      </c>
      <c r="G160" s="129"/>
      <c r="H160" s="449">
        <v>5</v>
      </c>
      <c r="I160" s="440">
        <v>35</v>
      </c>
      <c r="J160" s="451">
        <f>SUM(H160:I160)</f>
        <v>40</v>
      </c>
      <c r="K160" s="452"/>
      <c r="L160" s="82"/>
      <c r="M160" s="130"/>
      <c r="N160" s="82"/>
      <c r="O160" s="82"/>
      <c r="P160" s="82"/>
    </row>
    <row r="161" spans="1:16" ht="19.5" customHeight="1" x14ac:dyDescent="0.25">
      <c r="A161" s="444"/>
      <c r="B161" s="140" t="s">
        <v>26</v>
      </c>
      <c r="C161" s="141" t="s">
        <v>92</v>
      </c>
      <c r="D161" s="142">
        <v>0.45833333333333331</v>
      </c>
      <c r="E161" s="357">
        <v>0.54166666666666663</v>
      </c>
      <c r="F161" s="359" t="s">
        <v>410</v>
      </c>
      <c r="G161" s="129"/>
      <c r="H161" s="450"/>
      <c r="I161" s="450"/>
      <c r="J161" s="450"/>
      <c r="K161" s="453"/>
      <c r="L161" s="82"/>
      <c r="M161" s="82"/>
      <c r="N161" s="82"/>
      <c r="O161" s="82"/>
      <c r="P161" s="82"/>
    </row>
    <row r="162" spans="1:16" ht="19.5" customHeight="1" x14ac:dyDescent="0.2">
      <c r="A162" s="82"/>
      <c r="B162" s="82"/>
      <c r="C162" s="82"/>
      <c r="D162" s="82"/>
      <c r="E162" s="82"/>
      <c r="F162" s="117"/>
      <c r="G162" s="117"/>
      <c r="H162" s="82"/>
      <c r="I162" s="82"/>
      <c r="J162" s="117">
        <f>SUM(J159:J161)</f>
        <v>40</v>
      </c>
      <c r="K162" s="117"/>
      <c r="L162" s="82"/>
      <c r="M162" s="82"/>
      <c r="N162" s="82"/>
      <c r="O162" s="82"/>
      <c r="P162" s="82"/>
    </row>
    <row r="163" spans="1:16" ht="19.5" customHeight="1" x14ac:dyDescent="0.2">
      <c r="A163" s="83" t="s">
        <v>4</v>
      </c>
      <c r="B163" s="143" t="s">
        <v>93</v>
      </c>
      <c r="C163" s="144"/>
      <c r="D163" s="144"/>
      <c r="E163" s="144"/>
      <c r="F163" s="266"/>
      <c r="G163" s="266"/>
      <c r="H163" s="144"/>
      <c r="I163" s="144"/>
      <c r="J163" s="144"/>
      <c r="K163" s="266"/>
      <c r="L163" s="82"/>
      <c r="M163" s="82"/>
      <c r="N163" s="82"/>
      <c r="O163" s="82"/>
      <c r="P163" s="82"/>
    </row>
    <row r="164" spans="1:16" ht="19.5" customHeight="1" x14ac:dyDescent="0.2">
      <c r="A164" s="98"/>
      <c r="B164" s="98"/>
      <c r="C164" s="98"/>
      <c r="D164" s="98"/>
      <c r="E164" s="98"/>
      <c r="F164" s="240"/>
      <c r="G164" s="240"/>
      <c r="H164" s="98"/>
      <c r="I164" s="98"/>
      <c r="J164" s="98"/>
      <c r="K164" s="240"/>
      <c r="L164" s="82"/>
      <c r="M164" s="130"/>
      <c r="N164" s="82"/>
      <c r="O164" s="82"/>
      <c r="P164" s="82"/>
    </row>
    <row r="165" spans="1:16" ht="19.5" customHeight="1" x14ac:dyDescent="0.2">
      <c r="A165" s="131" t="s">
        <v>94</v>
      </c>
      <c r="B165" s="120">
        <v>2018</v>
      </c>
      <c r="C165" s="131" t="s">
        <v>95</v>
      </c>
      <c r="D165" s="122" t="s">
        <v>96</v>
      </c>
      <c r="E165" s="131" t="s">
        <v>9</v>
      </c>
      <c r="F165" s="123" t="s">
        <v>97</v>
      </c>
      <c r="G165" s="120" t="s">
        <v>98</v>
      </c>
      <c r="H165" s="120">
        <v>4</v>
      </c>
      <c r="I165" s="131" t="s">
        <v>12</v>
      </c>
      <c r="J165" s="123" t="s">
        <v>68</v>
      </c>
      <c r="L165" s="82"/>
      <c r="M165" s="82"/>
      <c r="N165" s="82"/>
      <c r="O165" s="82"/>
      <c r="P165" s="82"/>
    </row>
    <row r="166" spans="1:16" ht="19.5" customHeight="1" x14ac:dyDescent="0.2">
      <c r="A166" s="145" t="s">
        <v>94</v>
      </c>
      <c r="B166" s="146">
        <v>2023</v>
      </c>
      <c r="C166" s="147" t="s">
        <v>95</v>
      </c>
      <c r="D166" s="148" t="s">
        <v>99</v>
      </c>
      <c r="E166" s="147" t="s">
        <v>9</v>
      </c>
      <c r="F166" s="149" t="s">
        <v>97</v>
      </c>
      <c r="G166" s="146" t="s">
        <v>98</v>
      </c>
      <c r="H166" s="146">
        <v>4</v>
      </c>
      <c r="I166" s="147" t="s">
        <v>12</v>
      </c>
      <c r="J166" s="149" t="s">
        <v>68</v>
      </c>
      <c r="L166" s="82"/>
      <c r="M166" s="82"/>
      <c r="N166" s="82"/>
      <c r="O166" s="82"/>
      <c r="P166" s="82"/>
    </row>
    <row r="167" spans="1:16" ht="19.5" customHeight="1" x14ac:dyDescent="0.2">
      <c r="A167" s="92" t="s">
        <v>16</v>
      </c>
      <c r="B167" s="93" t="s">
        <v>17</v>
      </c>
      <c r="C167" s="93" t="s">
        <v>18</v>
      </c>
      <c r="D167" s="454" t="s">
        <v>19</v>
      </c>
      <c r="E167" s="455"/>
      <c r="F167" s="94" t="s">
        <v>20</v>
      </c>
      <c r="G167" s="94"/>
      <c r="H167" s="93" t="s">
        <v>21</v>
      </c>
      <c r="I167" s="93" t="s">
        <v>22</v>
      </c>
      <c r="J167" s="94" t="s">
        <v>23</v>
      </c>
      <c r="L167" s="82"/>
      <c r="M167" s="82"/>
      <c r="N167" s="82"/>
      <c r="O167" s="82"/>
      <c r="P167" s="82"/>
    </row>
    <row r="168" spans="1:16" ht="19.5" customHeight="1" x14ac:dyDescent="0.2">
      <c r="A168" s="470" t="s">
        <v>24</v>
      </c>
      <c r="B168" s="42" t="s">
        <v>17</v>
      </c>
      <c r="C168" s="95" t="s">
        <v>32</v>
      </c>
      <c r="D168" s="133">
        <v>0.58333333333333337</v>
      </c>
      <c r="E168" s="133">
        <v>0.70833333333333337</v>
      </c>
      <c r="F168" s="299" t="s">
        <v>70</v>
      </c>
      <c r="G168" s="162" t="s">
        <v>100</v>
      </c>
      <c r="H168" s="449">
        <v>5</v>
      </c>
      <c r="I168" s="440">
        <v>25</v>
      </c>
      <c r="J168" s="491">
        <f>SUM(G168:I168)</f>
        <v>30</v>
      </c>
      <c r="K168" s="526"/>
      <c r="L168" s="130"/>
      <c r="M168" s="130"/>
      <c r="N168" s="82"/>
      <c r="O168" s="82"/>
      <c r="P168" s="82"/>
    </row>
    <row r="169" spans="1:16" ht="19.5" customHeight="1" x14ac:dyDescent="0.2">
      <c r="A169" s="444"/>
      <c r="B169" s="42" t="s">
        <v>37</v>
      </c>
      <c r="C169" s="95" t="s">
        <v>32</v>
      </c>
      <c r="D169" s="133">
        <v>0.70833333333333337</v>
      </c>
      <c r="E169" s="133">
        <v>0.79166666666666663</v>
      </c>
      <c r="F169" s="299" t="s">
        <v>70</v>
      </c>
      <c r="G169" s="125"/>
      <c r="H169" s="450"/>
      <c r="I169" s="450"/>
      <c r="J169" s="450"/>
      <c r="K169" s="453"/>
      <c r="L169" s="82"/>
      <c r="M169" s="82"/>
      <c r="N169" s="82"/>
      <c r="O169" s="82"/>
      <c r="P169" s="82"/>
    </row>
    <row r="170" spans="1:16" ht="19.5" customHeight="1" x14ac:dyDescent="0.2">
      <c r="A170" s="98"/>
      <c r="B170" s="98"/>
      <c r="C170" s="98"/>
      <c r="D170" s="98"/>
      <c r="E170" s="98"/>
      <c r="F170" s="240"/>
      <c r="G170" s="240"/>
      <c r="H170" s="98"/>
      <c r="I170" s="98"/>
      <c r="J170" s="150">
        <v>30</v>
      </c>
      <c r="L170" s="82"/>
      <c r="M170" s="82"/>
      <c r="N170" s="82"/>
      <c r="O170" s="82"/>
      <c r="P170" s="82"/>
    </row>
    <row r="171" spans="1:16" ht="19.5" customHeight="1" x14ac:dyDescent="0.2">
      <c r="A171" s="98"/>
      <c r="B171" s="98"/>
      <c r="C171" s="98"/>
      <c r="D171" s="98"/>
      <c r="E171" s="98"/>
      <c r="F171" s="240"/>
      <c r="G171" s="240"/>
      <c r="H171" s="98"/>
      <c r="I171" s="98"/>
      <c r="J171" s="150"/>
      <c r="L171" s="82"/>
      <c r="M171" s="82"/>
      <c r="N171" s="82"/>
      <c r="O171" s="82"/>
      <c r="P171" s="82"/>
    </row>
    <row r="172" spans="1:16" ht="19.5" customHeight="1" x14ac:dyDescent="0.2">
      <c r="A172" s="131" t="s">
        <v>6</v>
      </c>
      <c r="B172" s="120">
        <v>2018</v>
      </c>
      <c r="C172" s="131" t="s">
        <v>7</v>
      </c>
      <c r="D172" s="122" t="s">
        <v>101</v>
      </c>
      <c r="E172" s="131" t="s">
        <v>9</v>
      </c>
      <c r="F172" s="123" t="s">
        <v>102</v>
      </c>
      <c r="G172" s="120" t="s">
        <v>98</v>
      </c>
      <c r="H172" s="120">
        <v>3</v>
      </c>
      <c r="I172" s="131" t="s">
        <v>12</v>
      </c>
      <c r="J172" s="123" t="s">
        <v>103</v>
      </c>
      <c r="L172" s="82"/>
      <c r="M172" s="82"/>
      <c r="N172" s="82"/>
      <c r="O172" s="82"/>
      <c r="P172" s="82"/>
    </row>
    <row r="173" spans="1:16" ht="19.5" customHeight="1" x14ac:dyDescent="0.2">
      <c r="A173" s="131" t="s">
        <v>6</v>
      </c>
      <c r="B173" s="120">
        <v>2023</v>
      </c>
      <c r="C173" s="131" t="s">
        <v>7</v>
      </c>
      <c r="D173" s="122" t="s">
        <v>104</v>
      </c>
      <c r="E173" s="131" t="s">
        <v>9</v>
      </c>
      <c r="F173" s="123" t="s">
        <v>102</v>
      </c>
      <c r="G173" s="120" t="s">
        <v>98</v>
      </c>
      <c r="H173" s="120">
        <v>3</v>
      </c>
      <c r="I173" s="131" t="s">
        <v>12</v>
      </c>
      <c r="J173" s="123" t="s">
        <v>81</v>
      </c>
      <c r="L173" s="82"/>
      <c r="M173" s="82"/>
      <c r="N173" s="82"/>
      <c r="O173" s="82"/>
      <c r="P173" s="82"/>
    </row>
    <row r="174" spans="1:16" ht="19.5" customHeight="1" x14ac:dyDescent="0.2">
      <c r="A174" s="92" t="s">
        <v>16</v>
      </c>
      <c r="B174" s="93" t="s">
        <v>17</v>
      </c>
      <c r="C174" s="93" t="s">
        <v>18</v>
      </c>
      <c r="D174" s="454" t="s">
        <v>19</v>
      </c>
      <c r="E174" s="455"/>
      <c r="F174" s="94" t="s">
        <v>20</v>
      </c>
      <c r="G174" s="94"/>
      <c r="H174" s="93" t="s">
        <v>21</v>
      </c>
      <c r="I174" s="93" t="s">
        <v>22</v>
      </c>
      <c r="J174" s="94" t="s">
        <v>23</v>
      </c>
      <c r="L174" s="82"/>
      <c r="M174" s="82"/>
      <c r="N174" s="82"/>
      <c r="O174" s="82"/>
      <c r="P174" s="82"/>
    </row>
    <row r="175" spans="1:16" ht="19.5" customHeight="1" x14ac:dyDescent="0.2">
      <c r="A175" s="470" t="s">
        <v>24</v>
      </c>
      <c r="B175" s="42" t="s">
        <v>17</v>
      </c>
      <c r="C175" s="95" t="s">
        <v>44</v>
      </c>
      <c r="D175" s="133">
        <v>0.33333333333333331</v>
      </c>
      <c r="E175" s="133">
        <v>0.41666666666666669</v>
      </c>
      <c r="F175" s="298"/>
      <c r="G175" s="162" t="s">
        <v>100</v>
      </c>
      <c r="H175" s="449">
        <v>5</v>
      </c>
      <c r="I175" s="440">
        <v>35</v>
      </c>
      <c r="J175" s="491">
        <f>SUM(G175:I175)</f>
        <v>40</v>
      </c>
      <c r="K175" s="482"/>
      <c r="L175" s="82"/>
      <c r="M175" s="82"/>
      <c r="N175" s="82"/>
      <c r="O175" s="82"/>
      <c r="P175" s="82"/>
    </row>
    <row r="176" spans="1:16" ht="19.5" customHeight="1" x14ac:dyDescent="0.2">
      <c r="A176" s="444"/>
      <c r="B176" s="42" t="s">
        <v>26</v>
      </c>
      <c r="C176" s="95" t="s">
        <v>44</v>
      </c>
      <c r="D176" s="133">
        <v>0.41666666666666669</v>
      </c>
      <c r="E176" s="133">
        <v>0.5</v>
      </c>
      <c r="F176" s="298"/>
      <c r="G176" s="125"/>
      <c r="H176" s="450"/>
      <c r="I176" s="450"/>
      <c r="J176" s="450"/>
      <c r="K176" s="453"/>
      <c r="L176" s="82"/>
      <c r="M176" s="82"/>
      <c r="N176" s="82"/>
      <c r="O176" s="82"/>
      <c r="P176" s="82"/>
    </row>
    <row r="177" spans="1:26" ht="19.5" customHeight="1" x14ac:dyDescent="0.2">
      <c r="A177" s="98"/>
      <c r="B177" s="52"/>
      <c r="C177" s="82"/>
      <c r="D177" s="151"/>
      <c r="E177" s="151"/>
      <c r="F177" s="240"/>
      <c r="G177" s="240"/>
      <c r="H177" s="98"/>
      <c r="I177" s="98"/>
      <c r="J177" s="98">
        <v>40</v>
      </c>
      <c r="K177" s="240"/>
      <c r="L177" s="82"/>
      <c r="M177" s="82"/>
      <c r="N177" s="82"/>
      <c r="O177" s="82"/>
      <c r="P177" s="82"/>
    </row>
    <row r="178" spans="1:26" ht="19.5" customHeight="1" x14ac:dyDescent="0.2">
      <c r="A178" s="98"/>
      <c r="B178" s="98"/>
      <c r="C178" s="98"/>
      <c r="D178" s="98"/>
      <c r="E178" s="98"/>
      <c r="F178" s="240"/>
      <c r="G178" s="240"/>
      <c r="H178" s="98"/>
      <c r="I178" s="98"/>
      <c r="J178" s="150"/>
      <c r="L178" s="82"/>
      <c r="M178" s="82"/>
      <c r="N178" s="82"/>
      <c r="O178" s="82"/>
      <c r="P178" s="82"/>
    </row>
    <row r="179" spans="1:26" ht="19.5" customHeight="1" x14ac:dyDescent="0.2">
      <c r="A179" s="131" t="s">
        <v>6</v>
      </c>
      <c r="B179" s="120">
        <v>2018</v>
      </c>
      <c r="C179" s="131" t="s">
        <v>7</v>
      </c>
      <c r="D179" s="122" t="s">
        <v>103</v>
      </c>
      <c r="E179" s="131" t="s">
        <v>9</v>
      </c>
      <c r="F179" s="123" t="s">
        <v>105</v>
      </c>
      <c r="G179" s="120" t="s">
        <v>98</v>
      </c>
      <c r="H179" s="120">
        <v>3</v>
      </c>
      <c r="I179" s="131" t="s">
        <v>12</v>
      </c>
      <c r="J179" s="152"/>
      <c r="L179" s="82"/>
      <c r="M179" s="82"/>
      <c r="N179" s="82"/>
      <c r="O179" s="82"/>
      <c r="P179" s="82"/>
    </row>
    <row r="180" spans="1:26" ht="19.5" customHeight="1" x14ac:dyDescent="0.2">
      <c r="A180" s="131" t="s">
        <v>6</v>
      </c>
      <c r="B180" s="120">
        <v>2023</v>
      </c>
      <c r="C180" s="131" t="s">
        <v>7</v>
      </c>
      <c r="D180" s="122" t="s">
        <v>106</v>
      </c>
      <c r="E180" s="131" t="s">
        <v>9</v>
      </c>
      <c r="F180" s="123" t="s">
        <v>105</v>
      </c>
      <c r="G180" s="120" t="s">
        <v>98</v>
      </c>
      <c r="H180" s="120">
        <v>3</v>
      </c>
      <c r="I180" s="131" t="s">
        <v>12</v>
      </c>
      <c r="J180" s="123" t="s">
        <v>81</v>
      </c>
      <c r="L180" s="82"/>
      <c r="M180" s="82"/>
      <c r="N180" s="82"/>
      <c r="O180" s="82"/>
      <c r="P180" s="82"/>
    </row>
    <row r="181" spans="1:26" ht="19.5" customHeight="1" x14ac:dyDescent="0.2">
      <c r="A181" s="92" t="s">
        <v>16</v>
      </c>
      <c r="B181" s="93" t="s">
        <v>17</v>
      </c>
      <c r="C181" s="93" t="s">
        <v>18</v>
      </c>
      <c r="D181" s="454" t="s">
        <v>19</v>
      </c>
      <c r="E181" s="455"/>
      <c r="F181" s="94" t="s">
        <v>20</v>
      </c>
      <c r="G181" s="94"/>
      <c r="H181" s="93" t="s">
        <v>21</v>
      </c>
      <c r="I181" s="93" t="s">
        <v>22</v>
      </c>
      <c r="J181" s="94" t="s">
        <v>23</v>
      </c>
      <c r="L181" s="82"/>
      <c r="M181" s="82"/>
      <c r="N181" s="82"/>
      <c r="O181" s="82"/>
      <c r="P181" s="82"/>
    </row>
    <row r="182" spans="1:26" ht="19.5" customHeight="1" x14ac:dyDescent="0.2">
      <c r="A182" s="470" t="s">
        <v>24</v>
      </c>
      <c r="B182" s="42" t="s">
        <v>17</v>
      </c>
      <c r="C182" s="153" t="s">
        <v>25</v>
      </c>
      <c r="D182" s="154">
        <v>0.58333333333333337</v>
      </c>
      <c r="E182" s="154">
        <v>0.66666666666666663</v>
      </c>
      <c r="F182" s="299" t="s">
        <v>107</v>
      </c>
      <c r="G182" s="162" t="s">
        <v>100</v>
      </c>
      <c r="H182" s="438">
        <v>5</v>
      </c>
      <c r="I182" s="440">
        <v>35</v>
      </c>
      <c r="J182" s="491">
        <f>SUM(G182:I182)</f>
        <v>40</v>
      </c>
      <c r="K182" s="482"/>
      <c r="L182" s="82"/>
      <c r="M182" s="82"/>
      <c r="N182" s="82"/>
      <c r="O182" s="82"/>
      <c r="P182" s="82"/>
    </row>
    <row r="183" spans="1:26" ht="19.5" customHeight="1" x14ac:dyDescent="0.2">
      <c r="A183" s="444"/>
      <c r="B183" s="42" t="s">
        <v>26</v>
      </c>
      <c r="C183" s="153" t="s">
        <v>25</v>
      </c>
      <c r="D183" s="154">
        <v>0.66666666666666663</v>
      </c>
      <c r="E183" s="154">
        <v>0.75</v>
      </c>
      <c r="F183" s="299" t="s">
        <v>107</v>
      </c>
      <c r="G183" s="125"/>
      <c r="H183" s="450"/>
      <c r="I183" s="450"/>
      <c r="J183" s="450"/>
      <c r="K183" s="493"/>
      <c r="L183" s="82"/>
      <c r="M183" s="82"/>
      <c r="N183" s="82"/>
      <c r="O183" s="82"/>
      <c r="P183" s="82"/>
    </row>
    <row r="184" spans="1:26" s="339" customFormat="1" ht="19.5" customHeight="1" x14ac:dyDescent="0.2">
      <c r="A184" s="470" t="s">
        <v>27</v>
      </c>
      <c r="B184" s="42" t="s">
        <v>17</v>
      </c>
      <c r="C184" s="153" t="s">
        <v>25</v>
      </c>
      <c r="D184" s="154">
        <v>0.58333333333333337</v>
      </c>
      <c r="E184" s="154">
        <v>0.66666666666666663</v>
      </c>
      <c r="F184" s="311" t="s">
        <v>378</v>
      </c>
      <c r="G184" s="338"/>
      <c r="H184" s="438">
        <v>5</v>
      </c>
      <c r="I184" s="440">
        <v>35</v>
      </c>
      <c r="J184" s="441">
        <f>SUM(G184:I184)</f>
        <v>40</v>
      </c>
      <c r="K184" s="574"/>
      <c r="L184" s="82"/>
      <c r="M184" s="82"/>
      <c r="N184" s="82"/>
      <c r="O184" s="82"/>
      <c r="P184" s="82"/>
    </row>
    <row r="185" spans="1:26" s="339" customFormat="1" ht="19.5" customHeight="1" x14ac:dyDescent="0.2">
      <c r="A185" s="496"/>
      <c r="B185" s="42" t="s">
        <v>26</v>
      </c>
      <c r="C185" s="153" t="s">
        <v>25</v>
      </c>
      <c r="D185" s="154">
        <v>0.66666666666666663</v>
      </c>
      <c r="E185" s="154">
        <v>0.75</v>
      </c>
      <c r="F185" s="311" t="s">
        <v>378</v>
      </c>
      <c r="G185" s="125"/>
      <c r="H185" s="439"/>
      <c r="I185" s="439"/>
      <c r="J185" s="442"/>
      <c r="K185" s="575"/>
      <c r="L185" s="82"/>
      <c r="M185" s="82"/>
      <c r="N185" s="82"/>
      <c r="O185" s="82"/>
      <c r="P185" s="82"/>
    </row>
    <row r="186" spans="1:26" ht="19.5" customHeight="1" x14ac:dyDescent="0.2">
      <c r="A186" s="98"/>
      <c r="B186" s="98"/>
      <c r="C186" s="98"/>
      <c r="D186" s="155"/>
      <c r="E186" s="155"/>
      <c r="F186" s="240"/>
      <c r="G186" s="240"/>
      <c r="H186" s="98"/>
      <c r="I186" s="98"/>
      <c r="J186" s="150">
        <v>80</v>
      </c>
      <c r="L186" s="82"/>
      <c r="M186" s="82"/>
      <c r="N186" s="82"/>
      <c r="O186" s="82"/>
      <c r="P186" s="82"/>
    </row>
    <row r="187" spans="1:26" ht="19.5" customHeight="1" x14ac:dyDescent="0.2">
      <c r="A187" s="98"/>
      <c r="B187" s="98"/>
      <c r="C187" s="98"/>
      <c r="D187" s="98"/>
      <c r="E187" s="98"/>
      <c r="F187" s="240"/>
      <c r="G187" s="240"/>
      <c r="H187" s="98"/>
      <c r="I187" s="98"/>
      <c r="J187" s="150"/>
      <c r="L187" s="82"/>
      <c r="M187" s="82"/>
      <c r="N187" s="82"/>
      <c r="O187" s="82"/>
      <c r="P187" s="82"/>
    </row>
    <row r="188" spans="1:26" ht="19.5" customHeight="1" x14ac:dyDescent="0.2">
      <c r="A188" s="131" t="s">
        <v>6</v>
      </c>
      <c r="B188" s="120">
        <v>2018</v>
      </c>
      <c r="C188" s="131" t="s">
        <v>7</v>
      </c>
      <c r="D188" s="122" t="s">
        <v>108</v>
      </c>
      <c r="E188" s="156" t="s">
        <v>9</v>
      </c>
      <c r="F188" s="123" t="s">
        <v>109</v>
      </c>
      <c r="G188" s="120" t="s">
        <v>98</v>
      </c>
      <c r="H188" s="120">
        <v>3</v>
      </c>
      <c r="I188" s="131" t="s">
        <v>12</v>
      </c>
      <c r="J188" s="123" t="s">
        <v>89</v>
      </c>
      <c r="L188" s="82"/>
      <c r="M188" s="82"/>
      <c r="N188" s="82"/>
      <c r="O188" s="82"/>
      <c r="P188" s="82"/>
    </row>
    <row r="189" spans="1:26" ht="19.5" customHeight="1" x14ac:dyDescent="0.2">
      <c r="A189" s="131" t="s">
        <v>6</v>
      </c>
      <c r="B189" s="120">
        <v>2023</v>
      </c>
      <c r="C189" s="131" t="s">
        <v>7</v>
      </c>
      <c r="D189" s="157" t="s">
        <v>110</v>
      </c>
      <c r="E189" s="156" t="s">
        <v>9</v>
      </c>
      <c r="F189" s="123" t="s">
        <v>109</v>
      </c>
      <c r="G189" s="120" t="s">
        <v>98</v>
      </c>
      <c r="H189" s="120">
        <v>3</v>
      </c>
      <c r="I189" s="131" t="s">
        <v>12</v>
      </c>
      <c r="J189" s="123" t="s">
        <v>91</v>
      </c>
      <c r="L189" s="82"/>
      <c r="M189" s="82"/>
      <c r="N189" s="82"/>
      <c r="O189" s="82"/>
      <c r="P189" s="82"/>
    </row>
    <row r="190" spans="1:26" ht="19.5" customHeight="1" x14ac:dyDescent="0.2">
      <c r="A190" s="92" t="s">
        <v>16</v>
      </c>
      <c r="B190" s="93" t="s">
        <v>17</v>
      </c>
      <c r="C190" s="93" t="s">
        <v>18</v>
      </c>
      <c r="D190" s="524" t="s">
        <v>19</v>
      </c>
      <c r="E190" s="455"/>
      <c r="F190" s="94" t="s">
        <v>20</v>
      </c>
      <c r="G190" s="94"/>
      <c r="H190" s="93" t="s">
        <v>21</v>
      </c>
      <c r="I190" s="93" t="s">
        <v>22</v>
      </c>
      <c r="J190" s="94" t="s">
        <v>23</v>
      </c>
      <c r="L190" s="82"/>
      <c r="M190" s="82"/>
      <c r="N190" s="82"/>
      <c r="O190" s="82"/>
      <c r="P190" s="82"/>
      <c r="Q190" s="158"/>
      <c r="R190" s="158"/>
      <c r="S190" s="158"/>
      <c r="T190" s="158"/>
      <c r="U190" s="158"/>
      <c r="V190" s="158"/>
      <c r="W190" s="158"/>
      <c r="X190" s="158"/>
      <c r="Y190" s="158"/>
      <c r="Z190" s="158"/>
    </row>
    <row r="191" spans="1:26" ht="19.5" customHeight="1" x14ac:dyDescent="0.2">
      <c r="A191" s="470" t="s">
        <v>24</v>
      </c>
      <c r="B191" s="42" t="s">
        <v>17</v>
      </c>
      <c r="C191" s="153" t="s">
        <v>36</v>
      </c>
      <c r="D191" s="154">
        <v>0.58333333333333337</v>
      </c>
      <c r="E191" s="154">
        <v>0.66666666666666663</v>
      </c>
      <c r="F191" s="299" t="s">
        <v>111</v>
      </c>
      <c r="G191" s="162" t="s">
        <v>100</v>
      </c>
      <c r="H191" s="449">
        <v>5</v>
      </c>
      <c r="I191" s="440">
        <v>35</v>
      </c>
      <c r="J191" s="491">
        <f>SUM(G191:I191)</f>
        <v>40</v>
      </c>
      <c r="K191" s="482"/>
      <c r="L191" s="82"/>
      <c r="M191" s="82"/>
      <c r="N191" s="82"/>
      <c r="O191" s="82"/>
      <c r="P191" s="82"/>
      <c r="Q191" s="158"/>
      <c r="R191" s="158"/>
      <c r="S191" s="158"/>
      <c r="T191" s="158"/>
      <c r="U191" s="158"/>
      <c r="V191" s="158"/>
      <c r="W191" s="158"/>
      <c r="X191" s="158"/>
      <c r="Y191" s="158"/>
      <c r="Z191" s="158"/>
    </row>
    <row r="192" spans="1:26" ht="19.5" customHeight="1" x14ac:dyDescent="0.2">
      <c r="A192" s="444"/>
      <c r="B192" s="42" t="s">
        <v>26</v>
      </c>
      <c r="C192" s="153" t="s">
        <v>36</v>
      </c>
      <c r="D192" s="154">
        <v>0.66666666666666663</v>
      </c>
      <c r="E192" s="154">
        <v>0.75</v>
      </c>
      <c r="F192" s="299" t="s">
        <v>111</v>
      </c>
      <c r="G192" s="125"/>
      <c r="H192" s="450"/>
      <c r="I192" s="450"/>
      <c r="J192" s="450"/>
      <c r="K192" s="453"/>
      <c r="L192" s="82"/>
      <c r="M192" s="82"/>
      <c r="N192" s="82"/>
      <c r="O192" s="82"/>
      <c r="P192" s="82"/>
    </row>
    <row r="193" spans="1:26" ht="19.5" customHeight="1" x14ac:dyDescent="0.2">
      <c r="A193" s="98"/>
      <c r="B193" s="98"/>
      <c r="C193" s="98"/>
      <c r="D193" s="98"/>
      <c r="E193" s="98"/>
      <c r="F193" s="240"/>
      <c r="G193" s="240"/>
      <c r="H193" s="98"/>
      <c r="I193" s="98"/>
      <c r="J193" s="150">
        <v>40</v>
      </c>
      <c r="L193" s="82"/>
      <c r="M193" s="82"/>
      <c r="N193" s="82"/>
      <c r="O193" s="82"/>
      <c r="P193" s="82"/>
    </row>
    <row r="194" spans="1:26" ht="19.5" customHeight="1" x14ac:dyDescent="0.2">
      <c r="A194" s="98"/>
      <c r="B194" s="98"/>
      <c r="C194" s="98"/>
      <c r="D194" s="155"/>
      <c r="E194" s="155"/>
      <c r="F194" s="257"/>
      <c r="G194" s="240"/>
      <c r="H194" s="98"/>
      <c r="I194" s="98"/>
      <c r="J194" s="150"/>
      <c r="L194" s="82"/>
      <c r="M194" s="82"/>
      <c r="N194" s="82"/>
      <c r="O194" s="82"/>
      <c r="P194" s="82"/>
      <c r="Q194" s="158"/>
      <c r="R194" s="158"/>
      <c r="S194" s="158"/>
      <c r="T194" s="158"/>
      <c r="U194" s="158"/>
      <c r="V194" s="158"/>
      <c r="W194" s="158"/>
      <c r="X194" s="158"/>
      <c r="Y194" s="158"/>
      <c r="Z194" s="158"/>
    </row>
    <row r="195" spans="1:26" ht="19.5" customHeight="1" x14ac:dyDescent="0.2">
      <c r="A195" s="131" t="s">
        <v>6</v>
      </c>
      <c r="B195" s="120">
        <v>2018</v>
      </c>
      <c r="C195" s="131" t="s">
        <v>7</v>
      </c>
      <c r="D195" s="122" t="s">
        <v>112</v>
      </c>
      <c r="E195" s="131" t="s">
        <v>9</v>
      </c>
      <c r="F195" s="123" t="s">
        <v>113</v>
      </c>
      <c r="G195" s="120" t="s">
        <v>98</v>
      </c>
      <c r="H195" s="120">
        <v>3</v>
      </c>
      <c r="I195" s="131" t="s">
        <v>12</v>
      </c>
      <c r="J195" s="123" t="s">
        <v>68</v>
      </c>
      <c r="L195" s="82"/>
      <c r="M195" s="82"/>
      <c r="N195" s="82"/>
      <c r="O195" s="82"/>
      <c r="P195" s="82"/>
    </row>
    <row r="196" spans="1:26" ht="19.5" customHeight="1" x14ac:dyDescent="0.2">
      <c r="A196" s="131" t="s">
        <v>6</v>
      </c>
      <c r="B196" s="120">
        <v>2023</v>
      </c>
      <c r="C196" s="131" t="s">
        <v>7</v>
      </c>
      <c r="D196" s="122" t="s">
        <v>114</v>
      </c>
      <c r="E196" s="131" t="s">
        <v>9</v>
      </c>
      <c r="F196" s="123" t="s">
        <v>113</v>
      </c>
      <c r="G196" s="120" t="s">
        <v>98</v>
      </c>
      <c r="H196" s="120">
        <v>3</v>
      </c>
      <c r="I196" s="131" t="s">
        <v>12</v>
      </c>
      <c r="J196" s="123" t="s">
        <v>68</v>
      </c>
      <c r="L196" s="82"/>
      <c r="M196" s="82"/>
      <c r="N196" s="82"/>
      <c r="O196" s="82"/>
      <c r="P196" s="82"/>
    </row>
    <row r="197" spans="1:26" ht="19.5" customHeight="1" x14ac:dyDescent="0.2">
      <c r="A197" s="92" t="s">
        <v>16</v>
      </c>
      <c r="B197" s="93" t="s">
        <v>17</v>
      </c>
      <c r="C197" s="93" t="s">
        <v>18</v>
      </c>
      <c r="D197" s="454" t="s">
        <v>19</v>
      </c>
      <c r="E197" s="455"/>
      <c r="F197" s="160" t="s">
        <v>20</v>
      </c>
      <c r="G197" s="94"/>
      <c r="H197" s="93" t="s">
        <v>21</v>
      </c>
      <c r="I197" s="93" t="s">
        <v>22</v>
      </c>
      <c r="J197" s="94" t="s">
        <v>23</v>
      </c>
      <c r="L197" s="82"/>
      <c r="M197" s="82"/>
      <c r="N197" s="82"/>
      <c r="O197" s="82"/>
      <c r="P197" s="82"/>
    </row>
    <row r="198" spans="1:26" ht="19.5" customHeight="1" x14ac:dyDescent="0.2">
      <c r="A198" s="470" t="s">
        <v>24</v>
      </c>
      <c r="B198" s="42" t="s">
        <v>17</v>
      </c>
      <c r="C198" s="95" t="s">
        <v>25</v>
      </c>
      <c r="D198" s="365">
        <v>0.33333333333333331</v>
      </c>
      <c r="E198" s="365">
        <v>0.45833333333333331</v>
      </c>
      <c r="F198" s="299" t="s">
        <v>69</v>
      </c>
      <c r="G198" s="162" t="s">
        <v>100</v>
      </c>
      <c r="H198" s="515">
        <v>5</v>
      </c>
      <c r="I198" s="517">
        <v>25</v>
      </c>
      <c r="J198" s="491">
        <f>SUM(G198:I198)</f>
        <v>30</v>
      </c>
      <c r="K198" s="482"/>
      <c r="L198" s="82"/>
      <c r="M198" s="130"/>
      <c r="N198" s="130"/>
      <c r="O198" s="82"/>
      <c r="P198" s="82"/>
    </row>
    <row r="199" spans="1:26" ht="19.5" customHeight="1" x14ac:dyDescent="0.2">
      <c r="A199" s="444"/>
      <c r="B199" s="42" t="s">
        <v>37</v>
      </c>
      <c r="C199" s="95" t="s">
        <v>25</v>
      </c>
      <c r="D199" s="365">
        <v>0.45833333333333331</v>
      </c>
      <c r="E199" s="365">
        <v>0.54166666666666663</v>
      </c>
      <c r="F199" s="299" t="s">
        <v>69</v>
      </c>
      <c r="G199" s="125"/>
      <c r="H199" s="450"/>
      <c r="I199" s="450"/>
      <c r="J199" s="450"/>
      <c r="K199" s="453"/>
      <c r="L199" s="82"/>
      <c r="M199" s="82"/>
      <c r="N199" s="159"/>
      <c r="O199" s="82"/>
      <c r="P199" s="82"/>
    </row>
    <row r="200" spans="1:26" ht="19.5" customHeight="1" x14ac:dyDescent="0.2">
      <c r="A200" s="98"/>
      <c r="B200" s="98"/>
      <c r="C200" s="98"/>
      <c r="D200" s="155"/>
      <c r="E200" s="155"/>
      <c r="F200" s="240"/>
      <c r="G200" s="240"/>
      <c r="H200" s="98"/>
      <c r="I200" s="98"/>
      <c r="J200" s="150">
        <v>30</v>
      </c>
      <c r="L200" s="82"/>
      <c r="M200" s="82"/>
      <c r="N200" s="82"/>
      <c r="O200" s="82"/>
      <c r="P200" s="82"/>
    </row>
    <row r="201" spans="1:26" ht="19.5" customHeight="1" x14ac:dyDescent="0.2">
      <c r="A201" s="98"/>
      <c r="B201" s="98"/>
      <c r="C201" s="98"/>
      <c r="D201" s="155"/>
      <c r="E201" s="155"/>
      <c r="F201" s="240"/>
      <c r="G201" s="240"/>
      <c r="H201" s="98"/>
      <c r="I201" s="98"/>
      <c r="J201" s="150"/>
      <c r="L201" s="82"/>
      <c r="M201" s="82"/>
      <c r="N201" s="82"/>
      <c r="O201" s="82"/>
      <c r="P201" s="82"/>
    </row>
    <row r="202" spans="1:26" ht="19.5" customHeight="1" x14ac:dyDescent="0.2">
      <c r="A202" s="120" t="s">
        <v>6</v>
      </c>
      <c r="B202" s="120">
        <v>2023</v>
      </c>
      <c r="C202" s="120" t="s">
        <v>7</v>
      </c>
      <c r="D202" s="122" t="s">
        <v>115</v>
      </c>
      <c r="E202" s="120" t="s">
        <v>9</v>
      </c>
      <c r="F202" s="123" t="s">
        <v>116</v>
      </c>
      <c r="G202" s="120" t="s">
        <v>98</v>
      </c>
      <c r="H202" s="120">
        <v>3</v>
      </c>
      <c r="I202" s="120" t="s">
        <v>12</v>
      </c>
      <c r="J202" s="123" t="s">
        <v>85</v>
      </c>
      <c r="L202" s="82"/>
      <c r="M202" s="82"/>
      <c r="N202" s="82"/>
      <c r="O202" s="82"/>
      <c r="P202" s="82"/>
    </row>
    <row r="203" spans="1:26" ht="19.5" customHeight="1" x14ac:dyDescent="0.2">
      <c r="A203" s="120" t="s">
        <v>6</v>
      </c>
      <c r="B203" s="120">
        <v>2023</v>
      </c>
      <c r="C203" s="120" t="s">
        <v>7</v>
      </c>
      <c r="D203" s="122" t="s">
        <v>117</v>
      </c>
      <c r="E203" s="120" t="s">
        <v>9</v>
      </c>
      <c r="F203" s="123" t="s">
        <v>116</v>
      </c>
      <c r="G203" s="120" t="s">
        <v>98</v>
      </c>
      <c r="H203" s="120">
        <v>3</v>
      </c>
      <c r="I203" s="120" t="s">
        <v>12</v>
      </c>
      <c r="J203" s="123" t="s">
        <v>85</v>
      </c>
      <c r="L203" s="82"/>
      <c r="M203" s="82"/>
      <c r="N203" s="82"/>
      <c r="O203" s="82"/>
      <c r="P203" s="82"/>
    </row>
    <row r="204" spans="1:26" ht="19.5" customHeight="1" x14ac:dyDescent="0.2">
      <c r="A204" s="124" t="s">
        <v>16</v>
      </c>
      <c r="B204" s="94" t="s">
        <v>17</v>
      </c>
      <c r="C204" s="94" t="s">
        <v>18</v>
      </c>
      <c r="D204" s="512" t="s">
        <v>19</v>
      </c>
      <c r="E204" s="455"/>
      <c r="F204" s="160" t="s">
        <v>20</v>
      </c>
      <c r="G204" s="94"/>
      <c r="H204" s="94"/>
      <c r="I204" s="94" t="s">
        <v>22</v>
      </c>
      <c r="J204" s="94" t="s">
        <v>23</v>
      </c>
      <c r="L204" s="82"/>
      <c r="M204" s="82"/>
      <c r="N204" s="82"/>
      <c r="O204" s="82"/>
      <c r="P204" s="82"/>
    </row>
    <row r="205" spans="1:26" ht="19.5" customHeight="1" x14ac:dyDescent="0.2">
      <c r="A205" s="465" t="s">
        <v>24</v>
      </c>
      <c r="B205" s="125" t="s">
        <v>17</v>
      </c>
      <c r="C205" s="364" t="s">
        <v>36</v>
      </c>
      <c r="D205" s="133">
        <v>0.33333333333333331</v>
      </c>
      <c r="E205" s="161">
        <v>0.41666666666666669</v>
      </c>
      <c r="F205" s="299" t="s">
        <v>118</v>
      </c>
      <c r="G205" s="162" t="s">
        <v>100</v>
      </c>
      <c r="H205" s="516">
        <v>5</v>
      </c>
      <c r="I205" s="517">
        <v>25</v>
      </c>
      <c r="J205" s="491">
        <v>30</v>
      </c>
      <c r="K205" s="482"/>
      <c r="L205" s="130"/>
      <c r="M205" s="130"/>
      <c r="N205" s="130"/>
      <c r="O205" s="82"/>
      <c r="P205" s="82"/>
    </row>
    <row r="206" spans="1:26" ht="19.5" customHeight="1" x14ac:dyDescent="0.2">
      <c r="A206" s="444"/>
      <c r="B206" s="125" t="s">
        <v>26</v>
      </c>
      <c r="C206" s="364" t="s">
        <v>36</v>
      </c>
      <c r="D206" s="133">
        <v>0.41666666666666669</v>
      </c>
      <c r="E206" s="161">
        <v>0.5</v>
      </c>
      <c r="F206" s="299" t="s">
        <v>118</v>
      </c>
      <c r="G206" s="125"/>
      <c r="H206" s="450"/>
      <c r="I206" s="450"/>
      <c r="J206" s="450"/>
      <c r="K206" s="453"/>
      <c r="L206" s="82"/>
      <c r="M206" s="82"/>
      <c r="N206" s="82"/>
      <c r="O206" s="82"/>
      <c r="P206" s="82"/>
    </row>
    <row r="207" spans="1:26" ht="19.5" customHeight="1" x14ac:dyDescent="0.2">
      <c r="A207" s="98"/>
      <c r="B207" s="98"/>
      <c r="C207" s="98"/>
      <c r="D207" s="98"/>
      <c r="E207" s="98"/>
      <c r="F207" s="240"/>
      <c r="G207" s="240"/>
      <c r="H207" s="98"/>
      <c r="I207" s="98"/>
      <c r="J207" s="150">
        <f>SUM(J204:J206)</f>
        <v>30</v>
      </c>
      <c r="L207" s="82"/>
      <c r="M207" s="82"/>
      <c r="N207" s="82"/>
      <c r="O207" s="82"/>
      <c r="P207" s="82"/>
    </row>
    <row r="208" spans="1:26" ht="19.5" customHeight="1" x14ac:dyDescent="0.2">
      <c r="A208" s="98"/>
      <c r="B208" s="98"/>
      <c r="C208" s="98"/>
      <c r="D208" s="98"/>
      <c r="E208" s="98"/>
      <c r="F208" s="240"/>
      <c r="G208" s="240"/>
      <c r="H208" s="98"/>
      <c r="I208" s="98"/>
      <c r="J208" s="150"/>
      <c r="L208" s="82"/>
      <c r="M208" s="82"/>
      <c r="N208" s="82"/>
      <c r="O208" s="82"/>
      <c r="P208" s="82"/>
    </row>
    <row r="209" spans="1:26" ht="19.5" customHeight="1" x14ac:dyDescent="0.2">
      <c r="A209" s="131" t="s">
        <v>6</v>
      </c>
      <c r="B209" s="120">
        <v>2018</v>
      </c>
      <c r="C209" s="131" t="s">
        <v>7</v>
      </c>
      <c r="D209" s="122" t="s">
        <v>119</v>
      </c>
      <c r="E209" s="131" t="s">
        <v>9</v>
      </c>
      <c r="F209" s="123" t="s">
        <v>120</v>
      </c>
      <c r="G209" s="120" t="s">
        <v>98</v>
      </c>
      <c r="H209" s="120">
        <v>3</v>
      </c>
      <c r="I209" s="131" t="s">
        <v>12</v>
      </c>
      <c r="J209" s="123" t="s">
        <v>78</v>
      </c>
      <c r="L209" s="82"/>
      <c r="M209" s="82"/>
      <c r="N209" s="82"/>
      <c r="O209" s="82"/>
      <c r="P209" s="82"/>
    </row>
    <row r="210" spans="1:26" ht="19.5" customHeight="1" x14ac:dyDescent="0.2">
      <c r="A210" s="131" t="s">
        <v>6</v>
      </c>
      <c r="B210" s="120">
        <v>2023</v>
      </c>
      <c r="C210" s="131" t="s">
        <v>7</v>
      </c>
      <c r="D210" s="122" t="s">
        <v>121</v>
      </c>
      <c r="E210" s="131" t="s">
        <v>9</v>
      </c>
      <c r="F210" s="123" t="s">
        <v>120</v>
      </c>
      <c r="G210" s="120" t="s">
        <v>98</v>
      </c>
      <c r="H210" s="120">
        <v>3</v>
      </c>
      <c r="I210" s="131" t="s">
        <v>12</v>
      </c>
      <c r="J210" s="123" t="s">
        <v>78</v>
      </c>
      <c r="L210" s="82"/>
      <c r="M210" s="82"/>
      <c r="N210" s="82"/>
      <c r="O210" s="82"/>
      <c r="P210" s="82"/>
    </row>
    <row r="211" spans="1:26" ht="19.5" customHeight="1" x14ac:dyDescent="0.2">
      <c r="A211" s="92" t="s">
        <v>16</v>
      </c>
      <c r="B211" s="93" t="s">
        <v>17</v>
      </c>
      <c r="C211" s="93" t="s">
        <v>18</v>
      </c>
      <c r="D211" s="454" t="s">
        <v>19</v>
      </c>
      <c r="E211" s="455"/>
      <c r="F211" s="94" t="s">
        <v>20</v>
      </c>
      <c r="G211" s="94"/>
      <c r="H211" s="93" t="s">
        <v>21</v>
      </c>
      <c r="I211" s="93" t="s">
        <v>22</v>
      </c>
      <c r="J211" s="94" t="s">
        <v>23</v>
      </c>
      <c r="L211" s="82"/>
      <c r="M211" s="82"/>
      <c r="N211" s="82"/>
      <c r="O211" s="82"/>
      <c r="P211" s="82"/>
    </row>
    <row r="212" spans="1:26" ht="19.5" customHeight="1" x14ac:dyDescent="0.2">
      <c r="A212" s="479" t="s">
        <v>24</v>
      </c>
      <c r="B212" s="42" t="s">
        <v>17</v>
      </c>
      <c r="C212" s="95" t="s">
        <v>122</v>
      </c>
      <c r="D212" s="96">
        <v>0.58333333333333337</v>
      </c>
      <c r="E212" s="96">
        <v>0.66666666666666663</v>
      </c>
      <c r="F212" s="299" t="s">
        <v>123</v>
      </c>
      <c r="G212" s="254" t="s">
        <v>100</v>
      </c>
      <c r="H212" s="479">
        <v>5</v>
      </c>
      <c r="I212" s="479">
        <v>25</v>
      </c>
      <c r="J212" s="519">
        <f>SUM(G212:I212)</f>
        <v>30</v>
      </c>
      <c r="K212" s="482"/>
      <c r="L212" s="82"/>
      <c r="M212" s="82"/>
      <c r="N212" s="82"/>
      <c r="O212" s="82"/>
      <c r="P212" s="82"/>
    </row>
    <row r="213" spans="1:26" ht="19.5" customHeight="1" x14ac:dyDescent="0.2">
      <c r="A213" s="444"/>
      <c r="B213" s="42" t="s">
        <v>37</v>
      </c>
      <c r="C213" s="95" t="s">
        <v>122</v>
      </c>
      <c r="D213" s="96">
        <v>0.66666666666666663</v>
      </c>
      <c r="E213" s="96">
        <v>0.75</v>
      </c>
      <c r="F213" s="299" t="s">
        <v>123</v>
      </c>
      <c r="G213" s="267"/>
      <c r="H213" s="444"/>
      <c r="I213" s="444"/>
      <c r="J213" s="444"/>
      <c r="K213" s="453"/>
      <c r="L213" s="82"/>
      <c r="M213" s="82"/>
      <c r="N213" s="82"/>
      <c r="O213" s="82"/>
      <c r="P213" s="82"/>
    </row>
    <row r="214" spans="1:26" ht="19.5" customHeight="1" x14ac:dyDescent="0.2">
      <c r="A214" s="82"/>
      <c r="B214" s="82"/>
      <c r="C214" s="82"/>
      <c r="D214" s="82"/>
      <c r="E214" s="82"/>
      <c r="F214" s="117"/>
      <c r="G214" s="117"/>
      <c r="H214" s="82"/>
      <c r="I214" s="82"/>
      <c r="J214" s="82">
        <v>30</v>
      </c>
      <c r="K214" s="117"/>
      <c r="L214" s="82"/>
      <c r="M214" s="82"/>
      <c r="N214" s="82"/>
      <c r="O214" s="82"/>
      <c r="P214" s="82"/>
    </row>
    <row r="215" spans="1:26" ht="19.5" customHeight="1" x14ac:dyDescent="0.2">
      <c r="A215" s="83" t="s">
        <v>4</v>
      </c>
      <c r="B215" s="84" t="s">
        <v>124</v>
      </c>
      <c r="C215" s="85"/>
      <c r="D215" s="85"/>
      <c r="E215" s="85"/>
      <c r="F215" s="255"/>
      <c r="G215" s="255"/>
      <c r="H215" s="85"/>
      <c r="I215" s="85"/>
      <c r="J215" s="85"/>
      <c r="K215" s="117"/>
      <c r="L215" s="82"/>
      <c r="M215" s="82"/>
      <c r="N215" s="82"/>
      <c r="O215" s="82"/>
      <c r="P215" s="82"/>
    </row>
    <row r="216" spans="1:26" ht="19.5" customHeight="1" x14ac:dyDescent="0.2">
      <c r="A216" s="83"/>
      <c r="B216" s="84"/>
      <c r="C216" s="85"/>
      <c r="D216" s="85"/>
      <c r="E216" s="85"/>
      <c r="F216" s="255"/>
      <c r="G216" s="255"/>
      <c r="H216" s="85"/>
      <c r="I216" s="85"/>
      <c r="J216" s="85"/>
      <c r="K216" s="117"/>
      <c r="L216" s="82"/>
      <c r="M216" s="82"/>
      <c r="N216" s="82"/>
      <c r="O216" s="82"/>
      <c r="P216" s="82"/>
    </row>
    <row r="217" spans="1:26" ht="19.5" customHeight="1" x14ac:dyDescent="0.2">
      <c r="A217" s="82"/>
      <c r="B217" s="82"/>
      <c r="C217" s="82"/>
      <c r="D217" s="82"/>
      <c r="E217" s="82"/>
      <c r="F217" s="117"/>
      <c r="G217" s="117"/>
      <c r="H217" s="82"/>
      <c r="I217" s="119"/>
      <c r="J217" s="82"/>
      <c r="K217" s="117"/>
      <c r="L217" s="82"/>
      <c r="M217" s="82"/>
      <c r="N217" s="82"/>
      <c r="O217" s="82"/>
      <c r="P217" s="82"/>
    </row>
    <row r="218" spans="1:26" ht="19.5" customHeight="1" x14ac:dyDescent="0.2">
      <c r="A218" s="131" t="s">
        <v>6</v>
      </c>
      <c r="B218" s="121">
        <v>2018</v>
      </c>
      <c r="C218" s="131" t="s">
        <v>7</v>
      </c>
      <c r="D218" s="122" t="s">
        <v>125</v>
      </c>
      <c r="E218" s="131" t="s">
        <v>9</v>
      </c>
      <c r="F218" s="123" t="s">
        <v>126</v>
      </c>
      <c r="G218" s="120" t="s">
        <v>11</v>
      </c>
      <c r="H218" s="121">
        <v>3</v>
      </c>
      <c r="I218" s="131" t="s">
        <v>12</v>
      </c>
      <c r="J218" s="121" t="s">
        <v>127</v>
      </c>
      <c r="K218" s="117"/>
      <c r="L218" s="82"/>
      <c r="M218" s="82"/>
      <c r="N218" s="82"/>
      <c r="O218" s="82"/>
      <c r="P218" s="82"/>
    </row>
    <row r="219" spans="1:26" ht="19.5" customHeight="1" x14ac:dyDescent="0.2">
      <c r="A219" s="163" t="s">
        <v>6</v>
      </c>
      <c r="B219" s="164">
        <v>2023</v>
      </c>
      <c r="C219" s="165" t="s">
        <v>7</v>
      </c>
      <c r="D219" s="122" t="s">
        <v>128</v>
      </c>
      <c r="E219" s="131" t="s">
        <v>9</v>
      </c>
      <c r="F219" s="166" t="s">
        <v>126</v>
      </c>
      <c r="G219" s="167" t="s">
        <v>11</v>
      </c>
      <c r="H219" s="164">
        <v>3</v>
      </c>
      <c r="I219" s="165" t="s">
        <v>12</v>
      </c>
      <c r="J219" s="164" t="s">
        <v>99</v>
      </c>
      <c r="K219" s="117"/>
      <c r="L219" s="82"/>
      <c r="M219" s="82"/>
      <c r="N219" s="82"/>
      <c r="O219" s="82"/>
      <c r="P219" s="82"/>
    </row>
    <row r="220" spans="1:26" ht="19.5" customHeight="1" x14ac:dyDescent="0.2">
      <c r="A220" s="92" t="s">
        <v>16</v>
      </c>
      <c r="B220" s="93" t="s">
        <v>17</v>
      </c>
      <c r="C220" s="93" t="s">
        <v>18</v>
      </c>
      <c r="D220" s="454" t="s">
        <v>19</v>
      </c>
      <c r="E220" s="455"/>
      <c r="F220" s="94" t="s">
        <v>20</v>
      </c>
      <c r="G220" s="94"/>
      <c r="H220" s="93" t="s">
        <v>21</v>
      </c>
      <c r="I220" s="93" t="s">
        <v>22</v>
      </c>
      <c r="J220" s="94" t="s">
        <v>23</v>
      </c>
      <c r="K220" s="117"/>
      <c r="L220" s="82"/>
      <c r="M220" s="82"/>
      <c r="N220" s="82"/>
      <c r="O220" s="82"/>
      <c r="P220" s="82"/>
    </row>
    <row r="221" spans="1:26" ht="19.5" customHeight="1" x14ac:dyDescent="0.2">
      <c r="A221" s="473" t="s">
        <v>24</v>
      </c>
      <c r="B221" s="168" t="s">
        <v>17</v>
      </c>
      <c r="C221" s="169" t="s">
        <v>48</v>
      </c>
      <c r="D221" s="170">
        <v>0.33333333333333331</v>
      </c>
      <c r="E221" s="170">
        <v>0.41666666666666669</v>
      </c>
      <c r="F221" s="296" t="s">
        <v>129</v>
      </c>
      <c r="G221" s="129"/>
      <c r="H221" s="520"/>
      <c r="I221" s="518">
        <v>30</v>
      </c>
      <c r="J221" s="451">
        <f>SUM(H221:I221)</f>
        <v>30</v>
      </c>
      <c r="K221" s="452"/>
      <c r="L221" s="82"/>
      <c r="M221" s="82"/>
      <c r="N221" s="82"/>
      <c r="O221" s="82"/>
      <c r="P221" s="82"/>
    </row>
    <row r="222" spans="1:26" ht="19.5" customHeight="1" x14ac:dyDescent="0.2">
      <c r="A222" s="444"/>
      <c r="B222" s="168" t="s">
        <v>37</v>
      </c>
      <c r="C222" s="169" t="s">
        <v>48</v>
      </c>
      <c r="D222" s="170">
        <v>0.41666666666666669</v>
      </c>
      <c r="E222" s="170">
        <v>0.5</v>
      </c>
      <c r="F222" s="296" t="s">
        <v>129</v>
      </c>
      <c r="G222" s="129"/>
      <c r="H222" s="450"/>
      <c r="I222" s="450"/>
      <c r="J222" s="450"/>
      <c r="K222" s="453"/>
      <c r="L222" s="82"/>
      <c r="M222" s="82"/>
      <c r="N222" s="82"/>
      <c r="O222" s="82"/>
      <c r="P222" s="82"/>
    </row>
    <row r="223" spans="1:26" ht="19.5" customHeight="1" x14ac:dyDescent="0.2">
      <c r="A223" s="473" t="s">
        <v>27</v>
      </c>
      <c r="B223" s="168" t="s">
        <v>17</v>
      </c>
      <c r="C223" s="169" t="s">
        <v>48</v>
      </c>
      <c r="D223" s="170">
        <v>0.33333333333333331</v>
      </c>
      <c r="E223" s="170">
        <v>0.41666666666666669</v>
      </c>
      <c r="F223" s="309" t="s">
        <v>383</v>
      </c>
      <c r="G223" s="129"/>
      <c r="H223" s="520"/>
      <c r="I223" s="518">
        <v>30</v>
      </c>
      <c r="J223" s="451">
        <f>SUM(H223:I223)</f>
        <v>30</v>
      </c>
      <c r="K223" s="452"/>
      <c r="L223" s="82"/>
      <c r="M223" s="82"/>
      <c r="N223" s="82"/>
      <c r="O223" s="82"/>
      <c r="P223" s="82"/>
      <c r="Q223" s="158"/>
      <c r="R223" s="158"/>
      <c r="S223" s="158"/>
      <c r="T223" s="158"/>
      <c r="U223" s="158"/>
      <c r="V223" s="158"/>
      <c r="W223" s="158"/>
      <c r="X223" s="158"/>
      <c r="Y223" s="158"/>
      <c r="Z223" s="158"/>
    </row>
    <row r="224" spans="1:26" ht="19.5" customHeight="1" x14ac:dyDescent="0.2">
      <c r="A224" s="444"/>
      <c r="B224" s="168" t="s">
        <v>37</v>
      </c>
      <c r="C224" s="169" t="s">
        <v>48</v>
      </c>
      <c r="D224" s="170">
        <v>0.41666666666666669</v>
      </c>
      <c r="E224" s="170">
        <v>0.5</v>
      </c>
      <c r="F224" s="309" t="s">
        <v>383</v>
      </c>
      <c r="G224" s="129"/>
      <c r="H224" s="450"/>
      <c r="I224" s="450"/>
      <c r="J224" s="450"/>
      <c r="K224" s="453"/>
      <c r="L224" s="82"/>
      <c r="M224" s="82"/>
      <c r="N224" s="82"/>
      <c r="O224" s="82"/>
      <c r="P224" s="82"/>
      <c r="Q224" s="158"/>
      <c r="R224" s="158"/>
      <c r="S224" s="158"/>
      <c r="T224" s="158"/>
      <c r="U224" s="158"/>
      <c r="V224" s="158"/>
      <c r="W224" s="158"/>
      <c r="X224" s="158"/>
      <c r="Y224" s="158"/>
      <c r="Z224" s="158"/>
    </row>
    <row r="225" spans="1:26" ht="19.5" customHeight="1" x14ac:dyDescent="0.2">
      <c r="A225" s="473" t="s">
        <v>28</v>
      </c>
      <c r="B225" s="168" t="s">
        <v>17</v>
      </c>
      <c r="C225" s="169" t="s">
        <v>48</v>
      </c>
      <c r="D225" s="170">
        <v>0.33333333333333331</v>
      </c>
      <c r="E225" s="170">
        <v>0.41666666666666669</v>
      </c>
      <c r="F225" s="335"/>
      <c r="G225" s="260"/>
      <c r="H225" s="520"/>
      <c r="I225" s="518">
        <v>30</v>
      </c>
      <c r="J225" s="451">
        <f>SUM(H225:I225)</f>
        <v>30</v>
      </c>
      <c r="K225" s="452"/>
      <c r="L225" s="82"/>
      <c r="M225" s="82"/>
      <c r="N225" s="82"/>
      <c r="O225" s="82"/>
      <c r="P225" s="82"/>
      <c r="Q225" s="158"/>
      <c r="R225" s="158"/>
      <c r="S225" s="158"/>
      <c r="T225" s="158"/>
      <c r="U225" s="158"/>
      <c r="V225" s="158"/>
      <c r="W225" s="158"/>
      <c r="X225" s="158"/>
      <c r="Y225" s="158"/>
      <c r="Z225" s="158"/>
    </row>
    <row r="226" spans="1:26" ht="19.5" customHeight="1" x14ac:dyDescent="0.2">
      <c r="A226" s="444"/>
      <c r="B226" s="168" t="s">
        <v>37</v>
      </c>
      <c r="C226" s="169" t="s">
        <v>48</v>
      </c>
      <c r="D226" s="170">
        <v>0.41666666666666669</v>
      </c>
      <c r="E226" s="170">
        <v>0.5</v>
      </c>
      <c r="F226" s="335"/>
      <c r="G226" s="260"/>
      <c r="H226" s="450"/>
      <c r="I226" s="450"/>
      <c r="J226" s="450"/>
      <c r="K226" s="453"/>
      <c r="L226" s="82"/>
      <c r="M226" s="82"/>
      <c r="N226" s="82"/>
      <c r="O226" s="82"/>
      <c r="P226" s="82"/>
      <c r="Q226" s="158"/>
      <c r="R226" s="158"/>
      <c r="S226" s="158"/>
      <c r="T226" s="158"/>
      <c r="U226" s="158"/>
      <c r="V226" s="158"/>
      <c r="W226" s="158"/>
      <c r="X226" s="158"/>
      <c r="Y226" s="158"/>
      <c r="Z226" s="158"/>
    </row>
    <row r="227" spans="1:26" ht="19.5" customHeight="1" x14ac:dyDescent="0.2">
      <c r="A227" s="98"/>
      <c r="B227" s="171"/>
      <c r="C227" s="172"/>
      <c r="D227" s="173"/>
      <c r="E227" s="173"/>
      <c r="F227" s="284"/>
      <c r="G227" s="268"/>
      <c r="H227" s="98"/>
      <c r="I227" s="98"/>
      <c r="J227" s="98">
        <v>90</v>
      </c>
      <c r="K227" s="240"/>
      <c r="L227" s="82"/>
      <c r="M227" s="82"/>
      <c r="N227" s="82"/>
      <c r="O227" s="82"/>
      <c r="P227" s="82"/>
      <c r="Q227" s="158"/>
      <c r="R227" s="158"/>
      <c r="S227" s="158"/>
      <c r="T227" s="158"/>
      <c r="U227" s="158"/>
      <c r="V227" s="158"/>
      <c r="W227" s="158"/>
      <c r="X227" s="158"/>
      <c r="Y227" s="158"/>
      <c r="Z227" s="158"/>
    </row>
    <row r="228" spans="1:26" ht="19.5" customHeight="1" x14ac:dyDescent="0.2">
      <c r="A228" s="82"/>
      <c r="B228" s="82"/>
      <c r="C228" s="82"/>
      <c r="D228" s="82"/>
      <c r="E228" s="82"/>
      <c r="F228" s="117"/>
      <c r="G228" s="117"/>
      <c r="H228" s="82"/>
      <c r="I228" s="82"/>
      <c r="J228" s="117"/>
      <c r="K228" s="117"/>
      <c r="L228" s="82"/>
      <c r="M228" s="82"/>
      <c r="N228" s="82"/>
      <c r="O228" s="82"/>
      <c r="P228" s="82"/>
    </row>
    <row r="229" spans="1:26" ht="19.5" customHeight="1" x14ac:dyDescent="0.2">
      <c r="A229" s="131" t="s">
        <v>6</v>
      </c>
      <c r="B229" s="121">
        <v>2023</v>
      </c>
      <c r="C229" s="131" t="s">
        <v>7</v>
      </c>
      <c r="D229" s="122" t="s">
        <v>130</v>
      </c>
      <c r="E229" s="131" t="s">
        <v>9</v>
      </c>
      <c r="F229" s="123" t="s">
        <v>131</v>
      </c>
      <c r="G229" s="120" t="s">
        <v>11</v>
      </c>
      <c r="H229" s="121">
        <v>3</v>
      </c>
      <c r="I229" s="131" t="s">
        <v>12</v>
      </c>
      <c r="J229" s="164" t="s">
        <v>121</v>
      </c>
      <c r="K229" s="117"/>
      <c r="L229" s="82"/>
      <c r="M229" s="82"/>
      <c r="N229" s="82"/>
      <c r="O229" s="82"/>
      <c r="P229" s="82"/>
    </row>
    <row r="230" spans="1:26" ht="19.5" customHeight="1" x14ac:dyDescent="0.2">
      <c r="A230" s="92" t="s">
        <v>16</v>
      </c>
      <c r="B230" s="93" t="s">
        <v>17</v>
      </c>
      <c r="C230" s="93" t="s">
        <v>18</v>
      </c>
      <c r="D230" s="454" t="s">
        <v>19</v>
      </c>
      <c r="E230" s="455"/>
      <c r="F230" s="94" t="s">
        <v>20</v>
      </c>
      <c r="G230" s="94"/>
      <c r="H230" s="93" t="s">
        <v>21</v>
      </c>
      <c r="I230" s="93" t="s">
        <v>22</v>
      </c>
      <c r="J230" s="94" t="s">
        <v>23</v>
      </c>
      <c r="K230" s="117"/>
      <c r="L230" s="82"/>
      <c r="M230" s="82"/>
      <c r="N230" s="82"/>
      <c r="O230" s="82"/>
      <c r="P230" s="82"/>
    </row>
    <row r="231" spans="1:26" ht="19.5" customHeight="1" x14ac:dyDescent="0.2">
      <c r="A231" s="473" t="s">
        <v>24</v>
      </c>
      <c r="B231" s="168" t="s">
        <v>17</v>
      </c>
      <c r="C231" s="169" t="s">
        <v>44</v>
      </c>
      <c r="D231" s="170">
        <v>0.58333333333333337</v>
      </c>
      <c r="E231" s="170">
        <v>0.66666666666666663</v>
      </c>
      <c r="F231" s="312" t="s">
        <v>132</v>
      </c>
      <c r="G231" s="129"/>
      <c r="H231" s="449"/>
      <c r="I231" s="440">
        <v>35</v>
      </c>
      <c r="J231" s="451">
        <f>SUM(H231:I231)</f>
        <v>35</v>
      </c>
      <c r="K231" s="452"/>
      <c r="L231" s="130"/>
      <c r="M231" s="130"/>
      <c r="N231" s="82"/>
      <c r="O231" s="82"/>
      <c r="P231" s="82"/>
    </row>
    <row r="232" spans="1:26" ht="19.5" customHeight="1" x14ac:dyDescent="0.2">
      <c r="A232" s="444"/>
      <c r="B232" s="168" t="s">
        <v>26</v>
      </c>
      <c r="C232" s="169" t="s">
        <v>44</v>
      </c>
      <c r="D232" s="170">
        <v>0.66666666666666663</v>
      </c>
      <c r="E232" s="170">
        <v>0.75</v>
      </c>
      <c r="F232" s="312" t="s">
        <v>132</v>
      </c>
      <c r="G232" s="129"/>
      <c r="H232" s="450"/>
      <c r="I232" s="450"/>
      <c r="J232" s="450"/>
      <c r="K232" s="493"/>
      <c r="L232" s="82"/>
      <c r="M232" s="82"/>
      <c r="N232" s="82"/>
      <c r="O232" s="82"/>
      <c r="P232" s="82"/>
    </row>
    <row r="233" spans="1:26" ht="19.5" customHeight="1" x14ac:dyDescent="0.2">
      <c r="A233" s="473" t="s">
        <v>27</v>
      </c>
      <c r="B233" s="168" t="s">
        <v>17</v>
      </c>
      <c r="C233" s="169" t="s">
        <v>25</v>
      </c>
      <c r="D233" s="170">
        <v>0.33333333333333331</v>
      </c>
      <c r="E233" s="170">
        <v>0.41666666666666669</v>
      </c>
      <c r="F233" s="328" t="s">
        <v>384</v>
      </c>
      <c r="G233" s="340"/>
      <c r="H233" s="449"/>
      <c r="I233" s="440">
        <v>35</v>
      </c>
      <c r="J233" s="507">
        <f>SUM(H233:I233)</f>
        <v>35</v>
      </c>
      <c r="K233" s="574"/>
      <c r="L233" s="82"/>
      <c r="M233" s="82"/>
      <c r="N233" s="82"/>
      <c r="O233" s="82"/>
      <c r="P233" s="82"/>
    </row>
    <row r="234" spans="1:26" ht="19.5" customHeight="1" x14ac:dyDescent="0.2">
      <c r="A234" s="444"/>
      <c r="B234" s="168" t="s">
        <v>26</v>
      </c>
      <c r="C234" s="169" t="s">
        <v>25</v>
      </c>
      <c r="D234" s="170">
        <v>0.41666666666666669</v>
      </c>
      <c r="E234" s="170">
        <v>0.5</v>
      </c>
      <c r="F234" s="328" t="s">
        <v>384</v>
      </c>
      <c r="G234" s="340"/>
      <c r="H234" s="450"/>
      <c r="I234" s="450"/>
      <c r="J234" s="503"/>
      <c r="K234" s="575"/>
      <c r="L234" s="82"/>
      <c r="M234" s="82"/>
      <c r="N234" s="82"/>
      <c r="O234" s="82"/>
      <c r="P234" s="82"/>
    </row>
    <row r="235" spans="1:26" ht="19.5" customHeight="1" x14ac:dyDescent="0.2">
      <c r="A235" s="473" t="s">
        <v>28</v>
      </c>
      <c r="B235" s="168" t="s">
        <v>17</v>
      </c>
      <c r="C235" s="169" t="s">
        <v>87</v>
      </c>
      <c r="D235" s="170">
        <v>0.33333333333333331</v>
      </c>
      <c r="E235" s="170">
        <v>0.41666666666666669</v>
      </c>
      <c r="F235" s="328" t="s">
        <v>384</v>
      </c>
      <c r="G235" s="340"/>
      <c r="H235" s="449"/>
      <c r="I235" s="440">
        <v>35</v>
      </c>
      <c r="J235" s="507">
        <f>SUM(H235:I235)</f>
        <v>35</v>
      </c>
      <c r="K235" s="574"/>
      <c r="L235" s="82"/>
      <c r="M235" s="82"/>
      <c r="N235" s="82"/>
      <c r="O235" s="82"/>
      <c r="P235" s="82"/>
    </row>
    <row r="236" spans="1:26" ht="19.5" customHeight="1" x14ac:dyDescent="0.2">
      <c r="A236" s="444"/>
      <c r="B236" s="168" t="s">
        <v>26</v>
      </c>
      <c r="C236" s="169" t="s">
        <v>87</v>
      </c>
      <c r="D236" s="170">
        <v>0.41666666666666669</v>
      </c>
      <c r="E236" s="170">
        <v>0.5</v>
      </c>
      <c r="F236" s="328" t="s">
        <v>384</v>
      </c>
      <c r="G236" s="340"/>
      <c r="H236" s="450"/>
      <c r="I236" s="450"/>
      <c r="J236" s="503"/>
      <c r="K236" s="575"/>
      <c r="L236" s="82"/>
      <c r="M236" s="82"/>
      <c r="N236" s="82"/>
      <c r="O236" s="82"/>
      <c r="P236" s="82"/>
    </row>
    <row r="237" spans="1:26" ht="19.5" customHeight="1" x14ac:dyDescent="0.2">
      <c r="A237" s="98"/>
      <c r="B237" s="171"/>
      <c r="C237" s="172"/>
      <c r="D237" s="173"/>
      <c r="E237" s="173"/>
      <c r="F237" s="313"/>
      <c r="G237" s="268"/>
      <c r="H237" s="98"/>
      <c r="I237" s="98"/>
      <c r="J237" s="98">
        <v>105</v>
      </c>
      <c r="K237" s="240"/>
      <c r="L237" s="82"/>
      <c r="M237" s="82"/>
      <c r="N237" s="82"/>
      <c r="O237" s="82"/>
      <c r="P237" s="82"/>
      <c r="Q237" s="158"/>
      <c r="R237" s="158"/>
      <c r="S237" s="158"/>
      <c r="T237" s="158"/>
      <c r="U237" s="158"/>
      <c r="V237" s="158"/>
      <c r="W237" s="158"/>
      <c r="X237" s="158"/>
      <c r="Y237" s="158"/>
      <c r="Z237" s="158"/>
    </row>
    <row r="238" spans="1:26" ht="19.5" customHeight="1" x14ac:dyDescent="0.2">
      <c r="A238" s="98"/>
      <c r="B238" s="171"/>
      <c r="C238" s="172"/>
      <c r="D238" s="173"/>
      <c r="E238" s="173"/>
      <c r="F238" s="313"/>
      <c r="G238" s="268"/>
      <c r="H238" s="98"/>
      <c r="I238" s="98"/>
      <c r="J238" s="98"/>
      <c r="K238" s="240"/>
      <c r="L238" s="82"/>
      <c r="M238" s="82"/>
      <c r="N238" s="82"/>
      <c r="O238" s="82"/>
      <c r="P238" s="82"/>
      <c r="Q238" s="158"/>
      <c r="R238" s="158"/>
      <c r="S238" s="158"/>
      <c r="T238" s="158"/>
      <c r="U238" s="158"/>
      <c r="V238" s="158"/>
      <c r="W238" s="158"/>
      <c r="X238" s="158"/>
      <c r="Y238" s="158"/>
      <c r="Z238" s="158"/>
    </row>
    <row r="239" spans="1:26" ht="19.5" customHeight="1" x14ac:dyDescent="0.2">
      <c r="A239" s="131" t="s">
        <v>6</v>
      </c>
      <c r="B239" s="121">
        <v>2018</v>
      </c>
      <c r="C239" s="131" t="s">
        <v>7</v>
      </c>
      <c r="D239" s="175" t="s">
        <v>125</v>
      </c>
      <c r="E239" s="176" t="s">
        <v>9</v>
      </c>
      <c r="F239" s="123" t="s">
        <v>133</v>
      </c>
      <c r="G239" s="120" t="s">
        <v>11</v>
      </c>
      <c r="H239" s="177">
        <v>3</v>
      </c>
      <c r="I239" s="131" t="s">
        <v>12</v>
      </c>
      <c r="J239" s="121" t="s">
        <v>115</v>
      </c>
      <c r="K239" s="240"/>
      <c r="L239" s="82"/>
      <c r="M239" s="82"/>
      <c r="N239" s="82"/>
      <c r="O239" s="82"/>
      <c r="P239" s="82"/>
      <c r="Q239" s="158"/>
      <c r="R239" s="158"/>
      <c r="S239" s="158"/>
      <c r="T239" s="158"/>
      <c r="U239" s="158"/>
      <c r="V239" s="158"/>
      <c r="W239" s="158"/>
      <c r="X239" s="158"/>
      <c r="Y239" s="158"/>
      <c r="Z239" s="158"/>
    </row>
    <row r="240" spans="1:26" ht="19.5" customHeight="1" x14ac:dyDescent="0.2">
      <c r="A240" s="131" t="s">
        <v>6</v>
      </c>
      <c r="B240" s="121">
        <v>2023</v>
      </c>
      <c r="C240" s="131" t="s">
        <v>7</v>
      </c>
      <c r="D240" s="122" t="s">
        <v>130</v>
      </c>
      <c r="E240" s="131" t="s">
        <v>9</v>
      </c>
      <c r="F240" s="123" t="s">
        <v>133</v>
      </c>
      <c r="G240" s="120" t="s">
        <v>11</v>
      </c>
      <c r="H240" s="121">
        <v>3</v>
      </c>
      <c r="I240" s="131" t="s">
        <v>12</v>
      </c>
      <c r="J240" s="121" t="s">
        <v>121</v>
      </c>
      <c r="K240" s="117"/>
      <c r="L240" s="82"/>
      <c r="M240" s="82"/>
      <c r="N240" s="82"/>
      <c r="O240" s="82"/>
      <c r="P240" s="82"/>
      <c r="Q240" s="158"/>
      <c r="R240" s="158"/>
      <c r="S240" s="158"/>
      <c r="T240" s="158"/>
      <c r="U240" s="158"/>
      <c r="V240" s="158"/>
      <c r="W240" s="158"/>
      <c r="X240" s="158"/>
      <c r="Y240" s="158"/>
      <c r="Z240" s="158"/>
    </row>
    <row r="241" spans="1:26" ht="19.5" customHeight="1" x14ac:dyDescent="0.2">
      <c r="A241" s="92" t="s">
        <v>16</v>
      </c>
      <c r="B241" s="93" t="s">
        <v>17</v>
      </c>
      <c r="C241" s="93" t="s">
        <v>18</v>
      </c>
      <c r="D241" s="454" t="s">
        <v>19</v>
      </c>
      <c r="E241" s="455"/>
      <c r="F241" s="94" t="s">
        <v>20</v>
      </c>
      <c r="G241" s="94"/>
      <c r="H241" s="93" t="s">
        <v>21</v>
      </c>
      <c r="I241" s="93" t="s">
        <v>22</v>
      </c>
      <c r="J241" s="178" t="s">
        <v>23</v>
      </c>
      <c r="K241" s="291"/>
      <c r="L241" s="82"/>
      <c r="M241" s="82"/>
      <c r="N241" s="82"/>
      <c r="O241" s="82"/>
      <c r="P241" s="82"/>
      <c r="Q241" s="158"/>
      <c r="R241" s="158"/>
      <c r="S241" s="158"/>
      <c r="T241" s="158"/>
      <c r="U241" s="158"/>
      <c r="V241" s="158"/>
      <c r="W241" s="158"/>
      <c r="X241" s="158"/>
      <c r="Y241" s="158"/>
      <c r="Z241" s="158"/>
    </row>
    <row r="242" spans="1:26" ht="19.5" customHeight="1" x14ac:dyDescent="0.2">
      <c r="A242" s="473" t="s">
        <v>24</v>
      </c>
      <c r="B242" s="168" t="s">
        <v>17</v>
      </c>
      <c r="C242" s="169" t="s">
        <v>32</v>
      </c>
      <c r="D242" s="179">
        <v>0.75</v>
      </c>
      <c r="E242" s="179">
        <v>0.83333333333333337</v>
      </c>
      <c r="F242" s="312" t="s">
        <v>134</v>
      </c>
      <c r="G242" s="129"/>
      <c r="H242" s="449"/>
      <c r="I242" s="440">
        <v>40</v>
      </c>
      <c r="J242" s="451">
        <f>SUM(H242:I242)</f>
        <v>40</v>
      </c>
      <c r="K242" s="582"/>
      <c r="L242" s="82"/>
      <c r="M242" s="82"/>
      <c r="N242" s="82"/>
      <c r="O242" s="82"/>
      <c r="P242" s="82"/>
      <c r="Q242" s="158"/>
      <c r="R242" s="158"/>
      <c r="S242" s="158"/>
      <c r="T242" s="158"/>
      <c r="U242" s="158"/>
      <c r="V242" s="158"/>
      <c r="W242" s="158"/>
      <c r="X242" s="158"/>
      <c r="Y242" s="158"/>
      <c r="Z242" s="158"/>
    </row>
    <row r="243" spans="1:26" ht="19.5" customHeight="1" x14ac:dyDescent="0.2">
      <c r="A243" s="494"/>
      <c r="B243" s="180" t="s">
        <v>26</v>
      </c>
      <c r="C243" s="172" t="s">
        <v>32</v>
      </c>
      <c r="D243" s="181">
        <v>0.83333333333333337</v>
      </c>
      <c r="E243" s="181">
        <v>0.91666666666666663</v>
      </c>
      <c r="F243" s="312" t="s">
        <v>134</v>
      </c>
      <c r="G243" s="253"/>
      <c r="H243" s="523"/>
      <c r="I243" s="523"/>
      <c r="J243" s="523"/>
      <c r="K243" s="549"/>
      <c r="L243" s="82"/>
      <c r="M243" s="82"/>
      <c r="N243" s="82"/>
      <c r="O243" s="82"/>
      <c r="P243" s="82"/>
      <c r="Q243" s="158"/>
      <c r="R243" s="158"/>
      <c r="S243" s="158"/>
      <c r="T243" s="158"/>
      <c r="U243" s="158"/>
      <c r="V243" s="158"/>
      <c r="W243" s="158"/>
      <c r="X243" s="158"/>
      <c r="Y243" s="158"/>
      <c r="Z243" s="158"/>
    </row>
    <row r="244" spans="1:26" ht="19.5" customHeight="1" x14ac:dyDescent="0.2">
      <c r="A244" s="474" t="s">
        <v>27</v>
      </c>
      <c r="B244" s="182" t="s">
        <v>17</v>
      </c>
      <c r="C244" s="183" t="s">
        <v>32</v>
      </c>
      <c r="D244" s="181">
        <v>0.58333333333333337</v>
      </c>
      <c r="E244" s="181">
        <v>0.66666666666666663</v>
      </c>
      <c r="F244" s="314" t="s">
        <v>379</v>
      </c>
      <c r="G244" s="341"/>
      <c r="H244" s="479"/>
      <c r="I244" s="509">
        <v>40</v>
      </c>
      <c r="J244" s="521">
        <f>SUM(H244:I244)</f>
        <v>40</v>
      </c>
      <c r="K244" s="522"/>
      <c r="L244" s="82"/>
      <c r="M244" s="82"/>
      <c r="N244" s="82"/>
      <c r="O244" s="82"/>
      <c r="P244" s="82"/>
      <c r="Q244" s="158"/>
      <c r="R244" s="158"/>
      <c r="S244" s="158"/>
      <c r="T244" s="158"/>
      <c r="U244" s="158"/>
      <c r="V244" s="158"/>
      <c r="W244" s="158"/>
      <c r="X244" s="158"/>
      <c r="Y244" s="158"/>
      <c r="Z244" s="158"/>
    </row>
    <row r="245" spans="1:26" ht="19.5" customHeight="1" x14ac:dyDescent="0.2">
      <c r="A245" s="444"/>
      <c r="B245" s="182" t="s">
        <v>26</v>
      </c>
      <c r="C245" s="183" t="s">
        <v>32</v>
      </c>
      <c r="D245" s="181">
        <v>0.66666666666666663</v>
      </c>
      <c r="E245" s="181">
        <v>0.75</v>
      </c>
      <c r="F245" s="314" t="s">
        <v>379</v>
      </c>
      <c r="G245" s="341"/>
      <c r="H245" s="444"/>
      <c r="I245" s="444"/>
      <c r="J245" s="444"/>
      <c r="K245" s="453"/>
      <c r="L245" s="82"/>
      <c r="M245" s="82"/>
      <c r="N245" s="82"/>
      <c r="O245" s="82"/>
      <c r="P245" s="82"/>
      <c r="Q245" s="158"/>
      <c r="R245" s="158"/>
      <c r="S245" s="158"/>
      <c r="T245" s="158"/>
      <c r="U245" s="158"/>
      <c r="V245" s="158"/>
      <c r="W245" s="158"/>
      <c r="X245" s="158"/>
      <c r="Y245" s="158"/>
      <c r="Z245" s="158"/>
    </row>
    <row r="246" spans="1:26" ht="19.5" customHeight="1" x14ac:dyDescent="0.2">
      <c r="A246" s="98"/>
      <c r="B246" s="171"/>
      <c r="C246" s="172"/>
      <c r="D246" s="173"/>
      <c r="E246" s="173"/>
      <c r="F246" s="313"/>
      <c r="G246" s="269"/>
      <c r="H246" s="98"/>
      <c r="I246" s="98"/>
      <c r="J246" s="98">
        <v>80</v>
      </c>
      <c r="K246" s="240"/>
      <c r="L246" s="82"/>
      <c r="M246" s="82"/>
      <c r="N246" s="82"/>
      <c r="O246" s="82"/>
      <c r="P246" s="82"/>
      <c r="Q246" s="158"/>
      <c r="R246" s="158"/>
      <c r="S246" s="158"/>
      <c r="T246" s="158"/>
      <c r="U246" s="158"/>
      <c r="V246" s="158"/>
      <c r="W246" s="158"/>
      <c r="X246" s="158"/>
      <c r="Y246" s="158"/>
      <c r="Z246" s="158"/>
    </row>
    <row r="247" spans="1:26" ht="19.5" customHeight="1" x14ac:dyDescent="0.2">
      <c r="A247" s="98"/>
      <c r="B247" s="171"/>
      <c r="C247" s="172"/>
      <c r="D247" s="173"/>
      <c r="E247" s="173"/>
      <c r="F247" s="240"/>
      <c r="G247" s="268"/>
      <c r="H247" s="98"/>
      <c r="I247" s="98"/>
      <c r="J247" s="174"/>
      <c r="K247" s="240"/>
      <c r="L247" s="82"/>
      <c r="M247" s="82"/>
      <c r="N247" s="82"/>
      <c r="O247" s="82"/>
      <c r="P247" s="82"/>
      <c r="Q247" s="158"/>
      <c r="R247" s="158"/>
      <c r="S247" s="158"/>
      <c r="T247" s="158"/>
      <c r="U247" s="158"/>
      <c r="V247" s="158"/>
      <c r="W247" s="158"/>
      <c r="X247" s="158"/>
      <c r="Y247" s="158"/>
      <c r="Z247" s="158"/>
    </row>
    <row r="248" spans="1:26" ht="19.5" customHeight="1" x14ac:dyDescent="0.2">
      <c r="A248" s="131" t="s">
        <v>6</v>
      </c>
      <c r="B248" s="121">
        <v>2023</v>
      </c>
      <c r="C248" s="131" t="s">
        <v>7</v>
      </c>
      <c r="D248" s="122" t="s">
        <v>135</v>
      </c>
      <c r="E248" s="131" t="s">
        <v>9</v>
      </c>
      <c r="F248" s="123" t="s">
        <v>136</v>
      </c>
      <c r="G248" s="120" t="s">
        <v>11</v>
      </c>
      <c r="H248" s="121">
        <v>4</v>
      </c>
      <c r="I248" s="131" t="s">
        <v>12</v>
      </c>
      <c r="J248" s="121" t="s">
        <v>137</v>
      </c>
      <c r="K248" s="117"/>
      <c r="L248" s="82"/>
      <c r="M248" s="82"/>
      <c r="N248" s="82"/>
      <c r="O248" s="82"/>
      <c r="P248" s="82"/>
    </row>
    <row r="249" spans="1:26" ht="19.5" customHeight="1" x14ac:dyDescent="0.2">
      <c r="A249" s="92" t="s">
        <v>16</v>
      </c>
      <c r="B249" s="93" t="s">
        <v>17</v>
      </c>
      <c r="C249" s="93" t="s">
        <v>18</v>
      </c>
      <c r="D249" s="454" t="s">
        <v>19</v>
      </c>
      <c r="E249" s="455"/>
      <c r="F249" s="94" t="s">
        <v>20</v>
      </c>
      <c r="G249" s="94"/>
      <c r="H249" s="93" t="s">
        <v>21</v>
      </c>
      <c r="I249" s="93" t="s">
        <v>22</v>
      </c>
      <c r="J249" s="94" t="s">
        <v>23</v>
      </c>
      <c r="K249" s="117"/>
      <c r="L249" s="82"/>
      <c r="M249" s="82"/>
      <c r="N249" s="82"/>
      <c r="O249" s="82"/>
      <c r="P249" s="82"/>
    </row>
    <row r="250" spans="1:26" ht="19.5" customHeight="1" x14ac:dyDescent="0.2">
      <c r="A250" s="466" t="s">
        <v>138</v>
      </c>
      <c r="B250" s="67" t="s">
        <v>17</v>
      </c>
      <c r="C250" s="138" t="s">
        <v>25</v>
      </c>
      <c r="D250" s="170">
        <v>0.70833333333333337</v>
      </c>
      <c r="E250" s="170">
        <v>0.83333333333333337</v>
      </c>
      <c r="F250" s="299" t="s">
        <v>69</v>
      </c>
      <c r="G250" s="270"/>
      <c r="H250" s="458"/>
      <c r="I250" s="459">
        <v>30</v>
      </c>
      <c r="J250" s="456">
        <f>SUM(H250:I250)</f>
        <v>30</v>
      </c>
      <c r="K250" s="452"/>
      <c r="L250" s="82"/>
      <c r="M250" s="82"/>
      <c r="N250" s="82"/>
      <c r="O250" s="82"/>
      <c r="P250" s="82"/>
    </row>
    <row r="251" spans="1:26" ht="19.5" customHeight="1" x14ac:dyDescent="0.2">
      <c r="A251" s="444"/>
      <c r="B251" s="67" t="s">
        <v>37</v>
      </c>
      <c r="C251" s="138" t="s">
        <v>25</v>
      </c>
      <c r="D251" s="170">
        <v>0.83333333333333337</v>
      </c>
      <c r="E251" s="170">
        <v>0.91666666666666663</v>
      </c>
      <c r="F251" s="299" t="s">
        <v>69</v>
      </c>
      <c r="G251" s="270"/>
      <c r="H251" s="457"/>
      <c r="I251" s="457"/>
      <c r="J251" s="457"/>
      <c r="K251" s="453"/>
      <c r="L251" s="82"/>
      <c r="M251" s="82"/>
      <c r="N251" s="82"/>
      <c r="O251" s="82"/>
      <c r="P251" s="82"/>
    </row>
    <row r="252" spans="1:26" ht="19.5" customHeight="1" x14ac:dyDescent="0.2">
      <c r="A252" s="466" t="s">
        <v>139</v>
      </c>
      <c r="B252" s="67" t="s">
        <v>17</v>
      </c>
      <c r="C252" s="138" t="s">
        <v>25</v>
      </c>
      <c r="D252" s="170">
        <v>0.70833333333333337</v>
      </c>
      <c r="E252" s="170">
        <v>0.83333333333333337</v>
      </c>
      <c r="F252" s="299" t="s">
        <v>140</v>
      </c>
      <c r="G252" s="270"/>
      <c r="H252" s="458"/>
      <c r="I252" s="459">
        <v>30</v>
      </c>
      <c r="J252" s="456">
        <f>SUM(H252:I252)</f>
        <v>30</v>
      </c>
      <c r="K252" s="452"/>
      <c r="L252" s="82"/>
      <c r="M252" s="82"/>
      <c r="N252" s="82"/>
      <c r="O252" s="82"/>
      <c r="P252" s="82"/>
    </row>
    <row r="253" spans="1:26" ht="19.5" customHeight="1" x14ac:dyDescent="0.2">
      <c r="A253" s="444"/>
      <c r="B253" s="67" t="s">
        <v>37</v>
      </c>
      <c r="C253" s="138" t="s">
        <v>25</v>
      </c>
      <c r="D253" s="170">
        <v>0.83333333333333337</v>
      </c>
      <c r="E253" s="170">
        <v>0.91666666666666663</v>
      </c>
      <c r="F253" s="299" t="s">
        <v>140</v>
      </c>
      <c r="G253" s="270"/>
      <c r="H253" s="457"/>
      <c r="I253" s="457"/>
      <c r="J253" s="457"/>
      <c r="K253" s="453"/>
      <c r="L253" s="82"/>
      <c r="M253" s="82"/>
      <c r="N253" s="82"/>
      <c r="O253" s="82"/>
      <c r="P253" s="82"/>
    </row>
    <row r="254" spans="1:26" ht="19.5" customHeight="1" x14ac:dyDescent="0.2">
      <c r="A254" s="466" t="s">
        <v>141</v>
      </c>
      <c r="B254" s="67" t="s">
        <v>17</v>
      </c>
      <c r="C254" s="138" t="s">
        <v>87</v>
      </c>
      <c r="D254" s="170">
        <v>0.33333333333333331</v>
      </c>
      <c r="E254" s="170">
        <v>0.45833333333333331</v>
      </c>
      <c r="F254" s="311" t="s">
        <v>389</v>
      </c>
      <c r="G254" s="342"/>
      <c r="H254" s="458"/>
      <c r="I254" s="459">
        <v>30</v>
      </c>
      <c r="J254" s="456">
        <f>SUM(H254:I254)</f>
        <v>30</v>
      </c>
      <c r="K254" s="452"/>
      <c r="L254" s="82"/>
      <c r="M254" s="82"/>
      <c r="N254" s="82"/>
      <c r="O254" s="82"/>
      <c r="P254" s="82"/>
    </row>
    <row r="255" spans="1:26" ht="19.5" customHeight="1" x14ac:dyDescent="0.2">
      <c r="A255" s="444"/>
      <c r="B255" s="67" t="s">
        <v>37</v>
      </c>
      <c r="C255" s="138" t="s">
        <v>87</v>
      </c>
      <c r="D255" s="170">
        <v>0.45833333333333331</v>
      </c>
      <c r="E255" s="170">
        <v>0.54166666666666663</v>
      </c>
      <c r="F255" s="311" t="s">
        <v>389</v>
      </c>
      <c r="G255" s="342"/>
      <c r="H255" s="457"/>
      <c r="I255" s="457"/>
      <c r="J255" s="457"/>
      <c r="K255" s="493"/>
      <c r="L255" s="82"/>
      <c r="M255" s="82"/>
      <c r="N255" s="82"/>
      <c r="O255" s="82"/>
      <c r="P255" s="82"/>
    </row>
    <row r="256" spans="1:26" s="290" customFormat="1" ht="19.5" customHeight="1" x14ac:dyDescent="0.2">
      <c r="A256" s="559" t="s">
        <v>395</v>
      </c>
      <c r="B256" s="366" t="s">
        <v>17</v>
      </c>
      <c r="C256" s="367" t="s">
        <v>25</v>
      </c>
      <c r="D256" s="368">
        <v>0.70833333333333337</v>
      </c>
      <c r="E256" s="368">
        <v>0.83333333333333337</v>
      </c>
      <c r="F256" s="369" t="s">
        <v>396</v>
      </c>
      <c r="G256" s="342"/>
      <c r="H256" s="560"/>
      <c r="I256" s="572">
        <v>30</v>
      </c>
      <c r="J256" s="573">
        <v>30</v>
      </c>
      <c r="K256" s="576"/>
      <c r="L256" s="130"/>
      <c r="M256" s="130"/>
      <c r="N256" s="130"/>
      <c r="O256" s="130"/>
      <c r="P256" s="130"/>
    </row>
    <row r="257" spans="1:16" s="290" customFormat="1" ht="19.5" customHeight="1" x14ac:dyDescent="0.2">
      <c r="A257" s="444"/>
      <c r="B257" s="366" t="s">
        <v>37</v>
      </c>
      <c r="C257" s="367" t="s">
        <v>25</v>
      </c>
      <c r="D257" s="368">
        <v>0.83333333333333337</v>
      </c>
      <c r="E257" s="368">
        <v>0.91666666666666663</v>
      </c>
      <c r="F257" s="369" t="s">
        <v>396</v>
      </c>
      <c r="G257" s="330"/>
      <c r="H257" s="561"/>
      <c r="I257" s="457"/>
      <c r="J257" s="503"/>
      <c r="K257" s="577"/>
      <c r="L257" s="130"/>
      <c r="M257" s="130"/>
      <c r="N257" s="130"/>
      <c r="O257" s="130"/>
      <c r="P257" s="130"/>
    </row>
    <row r="258" spans="1:16" ht="19.5" customHeight="1" x14ac:dyDescent="0.2">
      <c r="A258" s="98"/>
      <c r="B258" s="184"/>
      <c r="C258" s="185"/>
      <c r="D258" s="173"/>
      <c r="E258" s="173"/>
      <c r="F258" s="240"/>
      <c r="G258" s="271"/>
      <c r="H258" s="98"/>
      <c r="I258" s="98"/>
      <c r="J258" s="98">
        <v>120</v>
      </c>
      <c r="K258" s="240"/>
      <c r="L258" s="82"/>
      <c r="M258" s="82"/>
      <c r="N258" s="82"/>
      <c r="O258" s="82"/>
      <c r="P258" s="82"/>
    </row>
    <row r="259" spans="1:16" ht="19.5" customHeight="1" x14ac:dyDescent="0.2">
      <c r="A259" s="82"/>
      <c r="B259" s="82"/>
      <c r="C259" s="82"/>
      <c r="D259" s="82"/>
      <c r="E259" s="82"/>
      <c r="F259" s="117"/>
      <c r="G259" s="117"/>
      <c r="H259" s="82"/>
      <c r="I259" s="82"/>
      <c r="J259" s="117"/>
      <c r="K259" s="117"/>
      <c r="L259" s="82"/>
      <c r="M259" s="82"/>
      <c r="N259" s="82"/>
      <c r="O259" s="82"/>
      <c r="P259" s="82"/>
    </row>
    <row r="260" spans="1:16" ht="19.5" customHeight="1" x14ac:dyDescent="0.2">
      <c r="A260" s="131" t="s">
        <v>6</v>
      </c>
      <c r="B260" s="121">
        <v>2018</v>
      </c>
      <c r="C260" s="131" t="s">
        <v>7</v>
      </c>
      <c r="D260" s="122" t="s">
        <v>142</v>
      </c>
      <c r="E260" s="131" t="s">
        <v>9</v>
      </c>
      <c r="F260" s="123" t="s">
        <v>143</v>
      </c>
      <c r="G260" s="120" t="s">
        <v>11</v>
      </c>
      <c r="H260" s="121">
        <v>3</v>
      </c>
      <c r="I260" s="131" t="s">
        <v>12</v>
      </c>
      <c r="J260" s="121" t="s">
        <v>108</v>
      </c>
      <c r="K260" s="117"/>
      <c r="L260" s="82"/>
      <c r="M260" s="82"/>
      <c r="N260" s="82"/>
      <c r="O260" s="82"/>
      <c r="P260" s="82"/>
    </row>
    <row r="261" spans="1:16" ht="19.5" customHeight="1" x14ac:dyDescent="0.2">
      <c r="A261" s="131" t="s">
        <v>6</v>
      </c>
      <c r="B261" s="121">
        <v>2023</v>
      </c>
      <c r="C261" s="131" t="s">
        <v>7</v>
      </c>
      <c r="D261" s="122" t="s">
        <v>144</v>
      </c>
      <c r="E261" s="131" t="s">
        <v>9</v>
      </c>
      <c r="F261" s="123" t="s">
        <v>143</v>
      </c>
      <c r="G261" s="120" t="s">
        <v>11</v>
      </c>
      <c r="H261" s="121">
        <v>3</v>
      </c>
      <c r="I261" s="131" t="s">
        <v>12</v>
      </c>
      <c r="J261" s="121" t="s">
        <v>110</v>
      </c>
      <c r="K261" s="117"/>
      <c r="L261" s="82"/>
      <c r="M261" s="82"/>
      <c r="N261" s="82"/>
      <c r="O261" s="82"/>
      <c r="P261" s="82"/>
    </row>
    <row r="262" spans="1:16" ht="19.5" customHeight="1" x14ac:dyDescent="0.2">
      <c r="A262" s="186" t="s">
        <v>16</v>
      </c>
      <c r="B262" s="93" t="s">
        <v>17</v>
      </c>
      <c r="C262" s="93" t="s">
        <v>18</v>
      </c>
      <c r="D262" s="454" t="s">
        <v>19</v>
      </c>
      <c r="E262" s="455"/>
      <c r="F262" s="94" t="s">
        <v>20</v>
      </c>
      <c r="G262" s="94"/>
      <c r="H262" s="93" t="s">
        <v>21</v>
      </c>
      <c r="I262" s="93" t="s">
        <v>22</v>
      </c>
      <c r="J262" s="94" t="s">
        <v>23</v>
      </c>
      <c r="K262" s="117"/>
      <c r="L262" s="82"/>
      <c r="M262" s="82"/>
      <c r="N262" s="82"/>
      <c r="O262" s="82"/>
      <c r="P262" s="82"/>
    </row>
    <row r="263" spans="1:16" ht="19.5" customHeight="1" x14ac:dyDescent="0.2">
      <c r="A263" s="472" t="s">
        <v>24</v>
      </c>
      <c r="B263" s="187" t="s">
        <v>17</v>
      </c>
      <c r="C263" s="355" t="s">
        <v>48</v>
      </c>
      <c r="D263" s="356">
        <v>0.54166666666666663</v>
      </c>
      <c r="E263" s="356">
        <v>0.625</v>
      </c>
      <c r="F263" s="309" t="s">
        <v>385</v>
      </c>
      <c r="G263" s="270"/>
      <c r="H263" s="666">
        <v>5</v>
      </c>
      <c r="I263" s="459">
        <v>30</v>
      </c>
      <c r="J263" s="456">
        <f>SUM(H263:I263)</f>
        <v>35</v>
      </c>
      <c r="K263" s="452"/>
      <c r="L263" s="130" t="s">
        <v>413</v>
      </c>
      <c r="M263" s="130"/>
      <c r="N263" s="130"/>
      <c r="O263" s="130"/>
      <c r="P263" s="130"/>
    </row>
    <row r="264" spans="1:16" ht="19.5" customHeight="1" x14ac:dyDescent="0.2">
      <c r="A264" s="444"/>
      <c r="B264" s="187" t="s">
        <v>37</v>
      </c>
      <c r="C264" s="355" t="s">
        <v>48</v>
      </c>
      <c r="D264" s="356">
        <v>0.625</v>
      </c>
      <c r="E264" s="356">
        <v>0.70833333333333337</v>
      </c>
      <c r="F264" s="309" t="s">
        <v>385</v>
      </c>
      <c r="G264" s="270"/>
      <c r="H264" s="667"/>
      <c r="I264" s="457"/>
      <c r="J264" s="457"/>
      <c r="K264" s="453"/>
      <c r="L264" s="130"/>
      <c r="M264" s="82"/>
      <c r="N264" s="82"/>
      <c r="O264" s="82"/>
      <c r="P264" s="82"/>
    </row>
    <row r="265" spans="1:16" ht="19.5" customHeight="1" x14ac:dyDescent="0.2">
      <c r="A265" s="472" t="s">
        <v>27</v>
      </c>
      <c r="B265" s="187" t="s">
        <v>17</v>
      </c>
      <c r="C265" s="169" t="s">
        <v>44</v>
      </c>
      <c r="D265" s="170">
        <v>0.58333333333333337</v>
      </c>
      <c r="E265" s="170">
        <v>0.66666666666666663</v>
      </c>
      <c r="F265" s="309" t="s">
        <v>385</v>
      </c>
      <c r="G265" s="270"/>
      <c r="H265" s="666">
        <v>5</v>
      </c>
      <c r="I265" s="459">
        <v>30</v>
      </c>
      <c r="J265" s="456">
        <f>SUM(H265:I265)</f>
        <v>35</v>
      </c>
      <c r="K265" s="452"/>
      <c r="L265" s="130"/>
      <c r="M265" s="82"/>
      <c r="N265" s="82"/>
      <c r="O265" s="82"/>
      <c r="P265" s="82"/>
    </row>
    <row r="266" spans="1:16" ht="19.5" customHeight="1" x14ac:dyDescent="0.2">
      <c r="A266" s="444"/>
      <c r="B266" s="187" t="s">
        <v>37</v>
      </c>
      <c r="C266" s="169" t="s">
        <v>44</v>
      </c>
      <c r="D266" s="170">
        <v>0.66666666666666663</v>
      </c>
      <c r="E266" s="170">
        <v>0.75</v>
      </c>
      <c r="F266" s="309" t="s">
        <v>385</v>
      </c>
      <c r="G266" s="270"/>
      <c r="H266" s="667"/>
      <c r="I266" s="457"/>
      <c r="J266" s="457"/>
      <c r="K266" s="453"/>
      <c r="L266" s="82"/>
      <c r="M266" s="82"/>
      <c r="N266" s="82"/>
      <c r="O266" s="82"/>
      <c r="P266" s="82"/>
    </row>
    <row r="267" spans="1:16" ht="19.5" customHeight="1" x14ac:dyDescent="0.2">
      <c r="A267" s="472" t="s">
        <v>28</v>
      </c>
      <c r="B267" s="187" t="s">
        <v>17</v>
      </c>
      <c r="C267" s="169" t="s">
        <v>25</v>
      </c>
      <c r="D267" s="170">
        <v>0.33333333333333331</v>
      </c>
      <c r="E267" s="170">
        <v>0.41666666666666669</v>
      </c>
      <c r="F267" s="309" t="s">
        <v>386</v>
      </c>
      <c r="G267" s="342"/>
      <c r="H267" s="666">
        <v>5</v>
      </c>
      <c r="I267" s="459">
        <v>30</v>
      </c>
      <c r="J267" s="456">
        <f>SUM(H267:I267)</f>
        <v>35</v>
      </c>
      <c r="K267" s="452"/>
      <c r="L267" s="82"/>
      <c r="M267" s="82"/>
      <c r="N267" s="82"/>
      <c r="O267" s="82"/>
      <c r="P267" s="82"/>
    </row>
    <row r="268" spans="1:16" ht="19.5" customHeight="1" x14ac:dyDescent="0.2">
      <c r="A268" s="444"/>
      <c r="B268" s="187" t="s">
        <v>37</v>
      </c>
      <c r="C268" s="169" t="s">
        <v>25</v>
      </c>
      <c r="D268" s="170">
        <v>0.41666666666666669</v>
      </c>
      <c r="E268" s="170">
        <v>0.5</v>
      </c>
      <c r="F268" s="309" t="s">
        <v>386</v>
      </c>
      <c r="G268" s="342"/>
      <c r="H268" s="667"/>
      <c r="I268" s="457"/>
      <c r="J268" s="457"/>
      <c r="K268" s="453"/>
      <c r="L268" s="82"/>
      <c r="M268" s="82"/>
      <c r="N268" s="82"/>
      <c r="O268" s="82"/>
      <c r="P268" s="82"/>
    </row>
    <row r="269" spans="1:16" ht="19.5" customHeight="1" x14ac:dyDescent="0.2">
      <c r="A269" s="98"/>
      <c r="B269" s="188"/>
      <c r="C269" s="172"/>
      <c r="D269" s="173"/>
      <c r="E269" s="173"/>
      <c r="F269" s="284"/>
      <c r="G269" s="271"/>
      <c r="H269" s="98"/>
      <c r="I269" s="98"/>
      <c r="J269" s="98">
        <v>90</v>
      </c>
      <c r="K269" s="240"/>
      <c r="L269" s="82"/>
      <c r="M269" s="82"/>
      <c r="N269" s="82"/>
      <c r="O269" s="82"/>
      <c r="P269" s="82"/>
    </row>
    <row r="270" spans="1:16" ht="19.5" customHeight="1" x14ac:dyDescent="0.2">
      <c r="A270" s="82"/>
      <c r="B270" s="82"/>
      <c r="C270" s="82"/>
      <c r="D270" s="82"/>
      <c r="E270" s="82"/>
      <c r="F270" s="117"/>
      <c r="G270" s="117"/>
      <c r="H270" s="82"/>
      <c r="I270" s="82"/>
      <c r="J270" s="117"/>
      <c r="K270" s="117"/>
      <c r="L270" s="82"/>
      <c r="M270" s="82"/>
      <c r="N270" s="82"/>
      <c r="O270" s="82"/>
      <c r="P270" s="82"/>
    </row>
    <row r="271" spans="1:16" ht="19.5" customHeight="1" x14ac:dyDescent="0.2">
      <c r="A271" s="131" t="s">
        <v>6</v>
      </c>
      <c r="B271" s="121">
        <v>2023</v>
      </c>
      <c r="C271" s="131" t="s">
        <v>7</v>
      </c>
      <c r="D271" s="122" t="s">
        <v>145</v>
      </c>
      <c r="E271" s="131" t="s">
        <v>9</v>
      </c>
      <c r="F271" s="123" t="s">
        <v>146</v>
      </c>
      <c r="G271" s="120" t="s">
        <v>11</v>
      </c>
      <c r="H271" s="121">
        <v>3</v>
      </c>
      <c r="I271" s="131" t="s">
        <v>12</v>
      </c>
      <c r="J271" s="121" t="s">
        <v>104</v>
      </c>
      <c r="K271" s="117"/>
      <c r="L271" s="82"/>
      <c r="M271" s="82"/>
      <c r="N271" s="82"/>
      <c r="O271" s="82"/>
      <c r="P271" s="82"/>
    </row>
    <row r="272" spans="1:16" ht="19.5" customHeight="1" x14ac:dyDescent="0.2">
      <c r="A272" s="189" t="s">
        <v>16</v>
      </c>
      <c r="B272" s="93" t="s">
        <v>17</v>
      </c>
      <c r="C272" s="93" t="s">
        <v>18</v>
      </c>
      <c r="D272" s="454" t="s">
        <v>19</v>
      </c>
      <c r="E272" s="455"/>
      <c r="F272" s="94" t="s">
        <v>20</v>
      </c>
      <c r="G272" s="94"/>
      <c r="H272" s="93" t="s">
        <v>21</v>
      </c>
      <c r="I272" s="93" t="s">
        <v>22</v>
      </c>
      <c r="J272" s="94" t="s">
        <v>23</v>
      </c>
      <c r="K272" s="117"/>
      <c r="L272" s="82"/>
      <c r="M272" s="82"/>
      <c r="N272" s="82"/>
      <c r="O272" s="82"/>
      <c r="P272" s="82"/>
    </row>
    <row r="273" spans="1:16" ht="19.5" customHeight="1" x14ac:dyDescent="0.2">
      <c r="A273" s="473" t="s">
        <v>24</v>
      </c>
      <c r="B273" s="190" t="s">
        <v>17</v>
      </c>
      <c r="C273" s="169" t="s">
        <v>25</v>
      </c>
      <c r="D273" s="170">
        <v>0.54166666666666663</v>
      </c>
      <c r="E273" s="170">
        <v>0.625</v>
      </c>
      <c r="F273" s="297" t="s">
        <v>147</v>
      </c>
      <c r="G273" s="272"/>
      <c r="H273" s="449"/>
      <c r="I273" s="440">
        <v>40</v>
      </c>
      <c r="J273" s="451">
        <f>SUM(H273:I273)</f>
        <v>40</v>
      </c>
      <c r="K273" s="452"/>
      <c r="L273" s="82"/>
      <c r="M273" s="118"/>
      <c r="N273" s="82"/>
      <c r="O273" s="82"/>
      <c r="P273" s="82"/>
    </row>
    <row r="274" spans="1:16" ht="19.5" customHeight="1" x14ac:dyDescent="0.2">
      <c r="A274" s="444"/>
      <c r="B274" s="190" t="s">
        <v>26</v>
      </c>
      <c r="C274" s="169" t="s">
        <v>25</v>
      </c>
      <c r="D274" s="170">
        <v>0.625</v>
      </c>
      <c r="E274" s="170">
        <v>0.70833333333333337</v>
      </c>
      <c r="F274" s="297" t="s">
        <v>147</v>
      </c>
      <c r="G274" s="272"/>
      <c r="H274" s="450"/>
      <c r="I274" s="450"/>
      <c r="J274" s="450"/>
      <c r="K274" s="493"/>
      <c r="L274" s="82"/>
      <c r="M274" s="82"/>
      <c r="N274" s="82"/>
      <c r="O274" s="82"/>
      <c r="P274" s="82"/>
    </row>
    <row r="275" spans="1:16" ht="19.5" customHeight="1" x14ac:dyDescent="0.2">
      <c r="A275" s="474" t="s">
        <v>27</v>
      </c>
      <c r="B275" s="190" t="s">
        <v>17</v>
      </c>
      <c r="C275" s="169" t="s">
        <v>25</v>
      </c>
      <c r="D275" s="170">
        <v>0.54166666666666663</v>
      </c>
      <c r="E275" s="170">
        <v>0.625</v>
      </c>
      <c r="F275" s="297" t="s">
        <v>75</v>
      </c>
      <c r="G275" s="272"/>
      <c r="H275" s="449"/>
      <c r="I275" s="440">
        <v>40</v>
      </c>
      <c r="J275" s="507">
        <f>SUM(H275:I275)</f>
        <v>40</v>
      </c>
      <c r="K275" s="527"/>
      <c r="L275" s="82"/>
      <c r="M275" s="82"/>
      <c r="N275" s="82"/>
      <c r="O275" s="82"/>
      <c r="P275" s="82"/>
    </row>
    <row r="276" spans="1:16" ht="19.5" customHeight="1" x14ac:dyDescent="0.2">
      <c r="A276" s="444"/>
      <c r="B276" s="190" t="s">
        <v>26</v>
      </c>
      <c r="C276" s="169" t="s">
        <v>25</v>
      </c>
      <c r="D276" s="170">
        <v>0.625</v>
      </c>
      <c r="E276" s="170">
        <v>0.70833333333333337</v>
      </c>
      <c r="F276" s="297" t="s">
        <v>75</v>
      </c>
      <c r="G276" s="272"/>
      <c r="H276" s="450"/>
      <c r="I276" s="450"/>
      <c r="J276" s="503"/>
      <c r="K276" s="528"/>
      <c r="L276" s="82"/>
      <c r="M276" s="82"/>
      <c r="N276" s="82"/>
      <c r="O276" s="82"/>
      <c r="P276" s="82"/>
    </row>
    <row r="277" spans="1:16" ht="19.5" customHeight="1" x14ac:dyDescent="0.2">
      <c r="A277" s="98"/>
      <c r="B277" s="171"/>
      <c r="C277" s="172"/>
      <c r="D277" s="173"/>
      <c r="E277" s="173"/>
      <c r="F277" s="284"/>
      <c r="G277" s="273"/>
      <c r="H277" s="98"/>
      <c r="I277" s="98"/>
      <c r="J277" s="98">
        <v>80</v>
      </c>
      <c r="K277" s="240"/>
      <c r="L277" s="82"/>
      <c r="M277" s="82"/>
      <c r="N277" s="82"/>
      <c r="O277" s="82"/>
      <c r="P277" s="82"/>
    </row>
    <row r="278" spans="1:16" ht="19.5" customHeight="1" x14ac:dyDescent="0.2">
      <c r="A278" s="131" t="s">
        <v>6</v>
      </c>
      <c r="B278" s="121">
        <v>2018</v>
      </c>
      <c r="C278" s="131" t="s">
        <v>7</v>
      </c>
      <c r="D278" s="122" t="s">
        <v>148</v>
      </c>
      <c r="E278" s="131" t="s">
        <v>9</v>
      </c>
      <c r="F278" s="123" t="s">
        <v>149</v>
      </c>
      <c r="G278" s="120" t="s">
        <v>11</v>
      </c>
      <c r="H278" s="121">
        <v>4</v>
      </c>
      <c r="I278" s="131" t="s">
        <v>12</v>
      </c>
      <c r="J278" s="121" t="s">
        <v>117</v>
      </c>
      <c r="K278" s="117"/>
      <c r="L278" s="82"/>
      <c r="M278" s="82"/>
      <c r="N278" s="82"/>
      <c r="O278" s="82"/>
      <c r="P278" s="82"/>
    </row>
    <row r="279" spans="1:16" ht="19.5" customHeight="1" x14ac:dyDescent="0.2">
      <c r="A279" s="131" t="s">
        <v>6</v>
      </c>
      <c r="B279" s="121">
        <v>2023</v>
      </c>
      <c r="C279" s="131" t="s">
        <v>7</v>
      </c>
      <c r="D279" s="122" t="s">
        <v>148</v>
      </c>
      <c r="E279" s="131" t="s">
        <v>9</v>
      </c>
      <c r="F279" s="123" t="s">
        <v>149</v>
      </c>
      <c r="G279" s="120" t="s">
        <v>11</v>
      </c>
      <c r="H279" s="121">
        <v>4</v>
      </c>
      <c r="I279" s="131" t="s">
        <v>12</v>
      </c>
      <c r="J279" s="121" t="s">
        <v>117</v>
      </c>
      <c r="K279" s="117"/>
      <c r="L279" s="82"/>
      <c r="M279" s="82"/>
      <c r="N279" s="82"/>
      <c r="O279" s="82"/>
      <c r="P279" s="82"/>
    </row>
    <row r="280" spans="1:16" ht="19.5" customHeight="1" x14ac:dyDescent="0.2">
      <c r="A280" s="186" t="s">
        <v>16</v>
      </c>
      <c r="B280" s="93" t="s">
        <v>17</v>
      </c>
      <c r="C280" s="93" t="s">
        <v>18</v>
      </c>
      <c r="D280" s="454" t="s">
        <v>19</v>
      </c>
      <c r="E280" s="455"/>
      <c r="F280" s="94" t="s">
        <v>20</v>
      </c>
      <c r="G280" s="94"/>
      <c r="H280" s="93" t="s">
        <v>21</v>
      </c>
      <c r="I280" s="93" t="s">
        <v>22</v>
      </c>
      <c r="J280" s="94" t="s">
        <v>23</v>
      </c>
      <c r="K280" s="117"/>
      <c r="L280" s="82"/>
      <c r="M280" s="82"/>
      <c r="N280" s="82"/>
      <c r="O280" s="82"/>
      <c r="P280" s="82"/>
    </row>
    <row r="281" spans="1:16" ht="19.5" customHeight="1" x14ac:dyDescent="0.2">
      <c r="A281" s="475" t="s">
        <v>24</v>
      </c>
      <c r="B281" s="191" t="s">
        <v>17</v>
      </c>
      <c r="C281" s="169" t="s">
        <v>36</v>
      </c>
      <c r="D281" s="96">
        <v>0.33333333333333331</v>
      </c>
      <c r="E281" s="96">
        <v>0.45833333333333331</v>
      </c>
      <c r="F281" s="299" t="s">
        <v>111</v>
      </c>
      <c r="G281" s="264"/>
      <c r="H281" s="458">
        <v>5</v>
      </c>
      <c r="I281" s="440">
        <v>40</v>
      </c>
      <c r="J281" s="451">
        <f>SUM(H281:I281)</f>
        <v>45</v>
      </c>
      <c r="K281" s="452"/>
      <c r="L281" s="130" t="s">
        <v>413</v>
      </c>
      <c r="M281" s="82"/>
      <c r="N281" s="82"/>
      <c r="O281" s="82"/>
      <c r="P281" s="82"/>
    </row>
    <row r="282" spans="1:16" ht="19.5" customHeight="1" x14ac:dyDescent="0.2">
      <c r="A282" s="444"/>
      <c r="B282" s="191" t="s">
        <v>26</v>
      </c>
      <c r="C282" s="169" t="s">
        <v>36</v>
      </c>
      <c r="D282" s="96">
        <v>0.45833333333333331</v>
      </c>
      <c r="E282" s="96">
        <v>0.54166666666666663</v>
      </c>
      <c r="F282" s="299" t="s">
        <v>111</v>
      </c>
      <c r="G282" s="264"/>
      <c r="H282" s="457"/>
      <c r="I282" s="450"/>
      <c r="J282" s="450"/>
      <c r="K282" s="493"/>
      <c r="L282" s="82"/>
      <c r="M282" s="82"/>
      <c r="N282" s="82"/>
      <c r="O282" s="82"/>
      <c r="P282" s="82"/>
    </row>
    <row r="283" spans="1:16" ht="19.5" customHeight="1" x14ac:dyDescent="0.2">
      <c r="A283" s="476" t="s">
        <v>27</v>
      </c>
      <c r="B283" s="191" t="s">
        <v>17</v>
      </c>
      <c r="C283" s="169" t="s">
        <v>36</v>
      </c>
      <c r="D283" s="96">
        <v>0.33333333333333331</v>
      </c>
      <c r="E283" s="96">
        <v>0.45833333333333331</v>
      </c>
      <c r="F283" s="299" t="s">
        <v>107</v>
      </c>
      <c r="G283" s="264"/>
      <c r="H283" s="458">
        <v>5</v>
      </c>
      <c r="I283" s="440">
        <v>40</v>
      </c>
      <c r="J283" s="507">
        <f>SUM(H283:I283)</f>
        <v>45</v>
      </c>
      <c r="K283" s="527"/>
      <c r="L283" s="82"/>
      <c r="M283" s="82"/>
      <c r="N283" s="82"/>
      <c r="O283" s="82"/>
      <c r="P283" s="82"/>
    </row>
    <row r="284" spans="1:16" ht="19.5" customHeight="1" x14ac:dyDescent="0.2">
      <c r="A284" s="444"/>
      <c r="B284" s="191" t="s">
        <v>26</v>
      </c>
      <c r="C284" s="169" t="s">
        <v>36</v>
      </c>
      <c r="D284" s="96">
        <v>0.45833333333333331</v>
      </c>
      <c r="E284" s="96">
        <v>0.54166666666666663</v>
      </c>
      <c r="F284" s="299" t="s">
        <v>107</v>
      </c>
      <c r="G284" s="264"/>
      <c r="H284" s="457"/>
      <c r="I284" s="450"/>
      <c r="J284" s="503"/>
      <c r="K284" s="528"/>
      <c r="L284" s="82"/>
      <c r="M284" s="82"/>
      <c r="N284" s="82"/>
      <c r="O284" s="82"/>
      <c r="P284" s="82"/>
    </row>
    <row r="285" spans="1:16" ht="19.5" customHeight="1" x14ac:dyDescent="0.2">
      <c r="A285" s="82"/>
      <c r="B285" s="82"/>
      <c r="C285" s="82"/>
      <c r="D285" s="82"/>
      <c r="E285" s="82"/>
      <c r="F285" s="117"/>
      <c r="G285" s="117"/>
      <c r="H285" s="82"/>
      <c r="I285" s="82"/>
      <c r="J285" s="117">
        <v>80</v>
      </c>
      <c r="K285" s="117"/>
      <c r="L285" s="82"/>
      <c r="M285" s="82"/>
      <c r="N285" s="82"/>
      <c r="O285" s="82"/>
      <c r="P285" s="82"/>
    </row>
    <row r="286" spans="1:16" ht="19.5" customHeight="1" x14ac:dyDescent="0.2">
      <c r="A286" s="82"/>
      <c r="B286" s="82"/>
      <c r="C286" s="82"/>
      <c r="D286" s="82"/>
      <c r="E286" s="82"/>
      <c r="F286" s="117"/>
      <c r="G286" s="117"/>
      <c r="H286" s="82"/>
      <c r="I286" s="82"/>
      <c r="J286" s="117"/>
      <c r="K286" s="117"/>
      <c r="L286" s="82"/>
      <c r="M286" s="82"/>
      <c r="N286" s="82"/>
      <c r="O286" s="82"/>
      <c r="P286" s="82"/>
    </row>
    <row r="287" spans="1:16" ht="19.5" customHeight="1" x14ac:dyDescent="0.2">
      <c r="A287" s="131" t="s">
        <v>6</v>
      </c>
      <c r="B287" s="121">
        <v>2023</v>
      </c>
      <c r="C287" s="131" t="s">
        <v>7</v>
      </c>
      <c r="D287" s="122" t="s">
        <v>150</v>
      </c>
      <c r="E287" s="131" t="s">
        <v>9</v>
      </c>
      <c r="F287" s="123" t="s">
        <v>151</v>
      </c>
      <c r="G287" s="120" t="s">
        <v>11</v>
      </c>
      <c r="H287" s="121">
        <v>4</v>
      </c>
      <c r="I287" s="131" t="s">
        <v>12</v>
      </c>
      <c r="J287" s="121" t="s">
        <v>114</v>
      </c>
      <c r="K287" s="117"/>
      <c r="L287" s="82"/>
      <c r="M287" s="82"/>
      <c r="N287" s="82"/>
      <c r="O287" s="82"/>
      <c r="P287" s="82"/>
    </row>
    <row r="288" spans="1:16" ht="19.5" customHeight="1" x14ac:dyDescent="0.2">
      <c r="A288" s="186" t="s">
        <v>16</v>
      </c>
      <c r="B288" s="93" t="s">
        <v>17</v>
      </c>
      <c r="C288" s="93" t="s">
        <v>18</v>
      </c>
      <c r="D288" s="454" t="s">
        <v>19</v>
      </c>
      <c r="E288" s="455"/>
      <c r="F288" s="94" t="s">
        <v>20</v>
      </c>
      <c r="G288" s="94"/>
      <c r="H288" s="93" t="s">
        <v>21</v>
      </c>
      <c r="I288" s="93" t="s">
        <v>22</v>
      </c>
      <c r="J288" s="94" t="s">
        <v>23</v>
      </c>
      <c r="K288" s="117"/>
      <c r="L288" s="82"/>
      <c r="M288" s="82"/>
      <c r="N288" s="82"/>
      <c r="O288" s="82"/>
      <c r="P288" s="82"/>
    </row>
    <row r="289" spans="1:16" ht="19.5" customHeight="1" x14ac:dyDescent="0.2">
      <c r="A289" s="475" t="s">
        <v>24</v>
      </c>
      <c r="B289" s="191" t="s">
        <v>17</v>
      </c>
      <c r="C289" s="169" t="s">
        <v>48</v>
      </c>
      <c r="D289" s="170">
        <v>0.70833333333333337</v>
      </c>
      <c r="E289" s="170">
        <v>0.83333333333333337</v>
      </c>
      <c r="F289" s="299" t="s">
        <v>152</v>
      </c>
      <c r="G289" s="264"/>
      <c r="H289" s="458"/>
      <c r="I289" s="440">
        <v>40</v>
      </c>
      <c r="J289" s="451">
        <f>SUM(H289:I289)</f>
        <v>40</v>
      </c>
      <c r="K289" s="452"/>
      <c r="L289" s="82"/>
      <c r="M289" s="82"/>
      <c r="N289" s="82"/>
      <c r="O289" s="82"/>
      <c r="P289" s="82"/>
    </row>
    <row r="290" spans="1:16" ht="19.5" customHeight="1" x14ac:dyDescent="0.2">
      <c r="A290" s="444"/>
      <c r="B290" s="191" t="s">
        <v>26</v>
      </c>
      <c r="C290" s="169" t="s">
        <v>48</v>
      </c>
      <c r="D290" s="170">
        <v>0.83333333333333337</v>
      </c>
      <c r="E290" s="170">
        <v>0.91666666666666663</v>
      </c>
      <c r="F290" s="299" t="s">
        <v>152</v>
      </c>
      <c r="G290" s="264"/>
      <c r="H290" s="457"/>
      <c r="I290" s="450"/>
      <c r="J290" s="450"/>
      <c r="K290" s="493"/>
      <c r="L290" s="82"/>
      <c r="M290" s="82"/>
      <c r="N290" s="82"/>
      <c r="O290" s="82"/>
      <c r="P290" s="82"/>
    </row>
    <row r="291" spans="1:16" ht="19.5" customHeight="1" x14ac:dyDescent="0.2">
      <c r="A291" s="476" t="s">
        <v>27</v>
      </c>
      <c r="B291" s="191" t="s">
        <v>17</v>
      </c>
      <c r="C291" s="169" t="s">
        <v>44</v>
      </c>
      <c r="D291" s="96">
        <v>0.33333333333333331</v>
      </c>
      <c r="E291" s="96">
        <v>0.45833333333333331</v>
      </c>
      <c r="F291" s="311" t="s">
        <v>387</v>
      </c>
      <c r="G291" s="342"/>
      <c r="H291" s="458"/>
      <c r="I291" s="440">
        <v>40</v>
      </c>
      <c r="J291" s="507">
        <f>SUM(H291:I291)</f>
        <v>40</v>
      </c>
      <c r="K291" s="527"/>
      <c r="L291" s="82"/>
      <c r="M291" s="82"/>
      <c r="N291" s="82"/>
      <c r="O291" s="82"/>
      <c r="P291" s="82"/>
    </row>
    <row r="292" spans="1:16" ht="19.5" customHeight="1" x14ac:dyDescent="0.2">
      <c r="A292" s="444"/>
      <c r="B292" s="191" t="s">
        <v>26</v>
      </c>
      <c r="C292" s="169" t="s">
        <v>44</v>
      </c>
      <c r="D292" s="96">
        <v>0.45833333333333331</v>
      </c>
      <c r="E292" s="96">
        <v>0.54166666666666663</v>
      </c>
      <c r="F292" s="311" t="s">
        <v>387</v>
      </c>
      <c r="G292" s="342"/>
      <c r="H292" s="457"/>
      <c r="I292" s="450"/>
      <c r="J292" s="503"/>
      <c r="K292" s="528"/>
      <c r="L292" s="82"/>
      <c r="M292" s="82"/>
      <c r="N292" s="82"/>
      <c r="O292" s="82"/>
      <c r="P292" s="82"/>
    </row>
    <row r="293" spans="1:16" ht="19.5" customHeight="1" x14ac:dyDescent="0.2">
      <c r="A293" s="82"/>
      <c r="B293" s="82"/>
      <c r="C293" s="82"/>
      <c r="D293" s="82"/>
      <c r="E293" s="82"/>
      <c r="F293" s="117"/>
      <c r="G293" s="117"/>
      <c r="H293" s="82"/>
      <c r="I293" s="82"/>
      <c r="J293" s="117">
        <v>80</v>
      </c>
      <c r="K293" s="117"/>
      <c r="L293" s="82"/>
      <c r="M293" s="82"/>
      <c r="N293" s="82"/>
      <c r="O293" s="82"/>
      <c r="P293" s="82"/>
    </row>
    <row r="294" spans="1:16" ht="19.5" customHeight="1" x14ac:dyDescent="0.2">
      <c r="A294" s="562" t="s">
        <v>153</v>
      </c>
      <c r="B294" s="563"/>
      <c r="C294" s="563"/>
      <c r="D294" s="563"/>
      <c r="E294" s="563"/>
      <c r="F294" s="563"/>
      <c r="G294" s="563"/>
      <c r="H294" s="563"/>
      <c r="I294" s="563"/>
      <c r="J294" s="563"/>
      <c r="K294" s="564"/>
      <c r="L294" s="82"/>
      <c r="M294" s="82"/>
      <c r="N294" s="82"/>
      <c r="O294" s="82"/>
      <c r="P294" s="82"/>
    </row>
    <row r="295" spans="1:16" ht="19.5" customHeight="1" x14ac:dyDescent="0.2">
      <c r="A295" s="98"/>
      <c r="B295" s="98"/>
      <c r="C295" s="98"/>
      <c r="D295" s="98"/>
      <c r="E295" s="98"/>
      <c r="F295" s="240"/>
      <c r="G295" s="240"/>
      <c r="H295" s="98"/>
      <c r="I295" s="98"/>
      <c r="J295" s="98"/>
      <c r="K295" s="240"/>
      <c r="L295" s="82"/>
      <c r="M295" s="82"/>
      <c r="N295" s="82"/>
      <c r="O295" s="82"/>
      <c r="P295" s="82"/>
    </row>
    <row r="296" spans="1:16" ht="19.5" customHeight="1" x14ac:dyDescent="0.2">
      <c r="A296" s="131" t="s">
        <v>6</v>
      </c>
      <c r="B296" s="120">
        <v>2018</v>
      </c>
      <c r="C296" s="131" t="s">
        <v>7</v>
      </c>
      <c r="D296" s="122" t="s">
        <v>154</v>
      </c>
      <c r="E296" s="131" t="s">
        <v>9</v>
      </c>
      <c r="F296" s="123" t="s">
        <v>155</v>
      </c>
      <c r="G296" s="122"/>
      <c r="H296" s="131" t="s">
        <v>98</v>
      </c>
      <c r="I296" s="120">
        <v>3</v>
      </c>
      <c r="J296" s="131" t="s">
        <v>12</v>
      </c>
      <c r="K296" s="123" t="s">
        <v>156</v>
      </c>
      <c r="L296" s="82"/>
      <c r="M296" s="82"/>
      <c r="N296" s="82"/>
      <c r="O296" s="82"/>
      <c r="P296" s="82"/>
    </row>
    <row r="297" spans="1:16" ht="19.5" customHeight="1" x14ac:dyDescent="0.2">
      <c r="A297" s="163" t="s">
        <v>6</v>
      </c>
      <c r="B297" s="167">
        <v>2023</v>
      </c>
      <c r="C297" s="165" t="s">
        <v>157</v>
      </c>
      <c r="D297" s="122"/>
      <c r="E297" s="192"/>
      <c r="F297" s="193"/>
      <c r="G297" s="195"/>
      <c r="H297" s="165"/>
      <c r="I297" s="167"/>
      <c r="J297" s="165"/>
      <c r="K297" s="166"/>
      <c r="L297" s="82"/>
      <c r="M297" s="82"/>
      <c r="N297" s="82"/>
      <c r="O297" s="82"/>
      <c r="P297" s="82"/>
    </row>
    <row r="298" spans="1:16" ht="19.5" customHeight="1" x14ac:dyDescent="0.2">
      <c r="A298" s="92" t="s">
        <v>16</v>
      </c>
      <c r="B298" s="93" t="s">
        <v>17</v>
      </c>
      <c r="C298" s="93" t="s">
        <v>18</v>
      </c>
      <c r="D298" s="567" t="s">
        <v>19</v>
      </c>
      <c r="E298" s="450"/>
      <c r="F298" s="160" t="s">
        <v>20</v>
      </c>
      <c r="G298" s="256"/>
      <c r="H298" s="93" t="s">
        <v>158</v>
      </c>
      <c r="I298" s="668" t="s">
        <v>21</v>
      </c>
      <c r="J298" s="93" t="s">
        <v>22</v>
      </c>
      <c r="K298" s="94" t="s">
        <v>23</v>
      </c>
      <c r="L298" s="82"/>
      <c r="M298" s="82"/>
      <c r="N298" s="82"/>
      <c r="O298" s="82"/>
      <c r="P298" s="82"/>
    </row>
    <row r="299" spans="1:16" ht="19.5" customHeight="1" x14ac:dyDescent="0.2">
      <c r="A299" s="470" t="s">
        <v>24</v>
      </c>
      <c r="B299" s="42" t="s">
        <v>17</v>
      </c>
      <c r="C299" s="95" t="s">
        <v>36</v>
      </c>
      <c r="D299" s="96">
        <v>0.75</v>
      </c>
      <c r="E299" s="194">
        <v>0.83333333333333337</v>
      </c>
      <c r="F299" s="299" t="s">
        <v>159</v>
      </c>
      <c r="G299" s="258"/>
      <c r="H299" s="449" t="s">
        <v>100</v>
      </c>
      <c r="I299" s="661">
        <v>15</v>
      </c>
      <c r="J299" s="490">
        <v>40</v>
      </c>
      <c r="K299" s="491">
        <f>SUM(H299:J299)</f>
        <v>55</v>
      </c>
      <c r="L299" s="583"/>
      <c r="M299" s="706" t="s">
        <v>413</v>
      </c>
      <c r="N299" s="706"/>
      <c r="O299" s="82"/>
      <c r="P299" s="82"/>
    </row>
    <row r="300" spans="1:16" ht="19.5" customHeight="1" x14ac:dyDescent="0.2">
      <c r="A300" s="444"/>
      <c r="B300" s="42" t="s">
        <v>26</v>
      </c>
      <c r="C300" s="95" t="s">
        <v>36</v>
      </c>
      <c r="D300" s="96">
        <v>0.83333333333333337</v>
      </c>
      <c r="E300" s="194">
        <v>0.91666666666666663</v>
      </c>
      <c r="F300" s="299" t="s">
        <v>159</v>
      </c>
      <c r="G300" s="258"/>
      <c r="H300" s="450"/>
      <c r="I300" s="665"/>
      <c r="J300" s="450"/>
      <c r="K300" s="492"/>
      <c r="L300" s="498"/>
      <c r="M300" s="82"/>
      <c r="N300" s="82"/>
      <c r="O300" s="82"/>
      <c r="P300" s="82"/>
    </row>
    <row r="301" spans="1:16" s="290" customFormat="1" ht="19.5" customHeight="1" x14ac:dyDescent="0.2">
      <c r="A301" s="555" t="s">
        <v>27</v>
      </c>
      <c r="B301" s="370" t="s">
        <v>17</v>
      </c>
      <c r="C301" s="371" t="s">
        <v>92</v>
      </c>
      <c r="D301" s="372">
        <v>0.75</v>
      </c>
      <c r="E301" s="373">
        <v>0.83333333333333337</v>
      </c>
      <c r="F301" s="369" t="s">
        <v>397</v>
      </c>
      <c r="G301" s="343"/>
      <c r="H301" s="568" t="s">
        <v>100</v>
      </c>
      <c r="I301" s="568"/>
      <c r="J301" s="523">
        <v>40</v>
      </c>
      <c r="K301" s="570">
        <f>SUM(H301:J301)</f>
        <v>40</v>
      </c>
      <c r="L301" s="578"/>
      <c r="M301" s="130"/>
      <c r="N301" s="130"/>
      <c r="O301" s="130"/>
      <c r="P301" s="130"/>
    </row>
    <row r="302" spans="1:16" s="290" customFormat="1" ht="19.5" customHeight="1" x14ac:dyDescent="0.2">
      <c r="A302" s="444"/>
      <c r="B302" s="370" t="s">
        <v>26</v>
      </c>
      <c r="C302" s="371" t="s">
        <v>92</v>
      </c>
      <c r="D302" s="372">
        <v>0.83333333333333337</v>
      </c>
      <c r="E302" s="373">
        <v>0.91666666666666663</v>
      </c>
      <c r="F302" s="369" t="s">
        <v>397</v>
      </c>
      <c r="G302" s="298"/>
      <c r="H302" s="569"/>
      <c r="I302" s="569"/>
      <c r="J302" s="450"/>
      <c r="K302" s="571"/>
      <c r="L302" s="579"/>
      <c r="M302" s="130"/>
      <c r="N302" s="130"/>
      <c r="O302" s="130"/>
      <c r="P302" s="130"/>
    </row>
    <row r="303" spans="1:16" ht="19.5" customHeight="1" x14ac:dyDescent="0.2">
      <c r="A303" s="98"/>
      <c r="B303" s="98"/>
      <c r="C303" s="98"/>
      <c r="D303" s="98"/>
      <c r="E303" s="98"/>
      <c r="F303" s="240"/>
      <c r="G303" s="240"/>
      <c r="H303" s="98"/>
      <c r="I303" s="98"/>
      <c r="J303" s="98"/>
      <c r="K303" s="150">
        <v>80</v>
      </c>
      <c r="L303" s="82"/>
      <c r="M303" s="82"/>
      <c r="N303" s="82"/>
      <c r="O303" s="82"/>
      <c r="P303" s="82"/>
    </row>
    <row r="304" spans="1:16" ht="19.5" customHeight="1" x14ac:dyDescent="0.2">
      <c r="A304" s="98"/>
      <c r="B304" s="98"/>
      <c r="C304" s="98"/>
      <c r="D304" s="98"/>
      <c r="E304" s="98"/>
      <c r="F304" s="240"/>
      <c r="G304" s="240"/>
      <c r="H304" s="98"/>
      <c r="I304" s="98"/>
      <c r="J304" s="98"/>
      <c r="K304" s="150"/>
      <c r="L304" s="82"/>
      <c r="M304" s="82"/>
      <c r="N304" s="82"/>
      <c r="O304" s="82"/>
      <c r="P304" s="82"/>
    </row>
    <row r="305" spans="1:16" ht="19.5" customHeight="1" x14ac:dyDescent="0.2">
      <c r="A305" s="131" t="s">
        <v>6</v>
      </c>
      <c r="B305" s="120">
        <v>2018</v>
      </c>
      <c r="C305" s="131" t="s">
        <v>7</v>
      </c>
      <c r="D305" s="122" t="s">
        <v>160</v>
      </c>
      <c r="E305" s="131" t="s">
        <v>9</v>
      </c>
      <c r="F305" s="123" t="s">
        <v>161</v>
      </c>
      <c r="G305" s="122"/>
      <c r="H305" s="131" t="s">
        <v>98</v>
      </c>
      <c r="I305" s="120">
        <v>3</v>
      </c>
      <c r="J305" s="131" t="s">
        <v>12</v>
      </c>
      <c r="K305" s="123" t="s">
        <v>162</v>
      </c>
      <c r="L305" s="82"/>
      <c r="M305" s="82"/>
      <c r="N305" s="82"/>
      <c r="O305" s="82"/>
      <c r="P305" s="82"/>
    </row>
    <row r="306" spans="1:16" ht="19.5" customHeight="1" x14ac:dyDescent="0.2">
      <c r="A306" s="163"/>
      <c r="B306" s="167">
        <v>2023</v>
      </c>
      <c r="C306" s="165"/>
      <c r="D306" s="195" t="s">
        <v>163</v>
      </c>
      <c r="E306" s="165"/>
      <c r="F306" s="123" t="s">
        <v>161</v>
      </c>
      <c r="G306" s="195"/>
      <c r="H306" s="165"/>
      <c r="I306" s="167"/>
      <c r="J306" s="165"/>
      <c r="K306" s="166" t="s">
        <v>130</v>
      </c>
      <c r="L306" s="82"/>
      <c r="M306" s="82"/>
      <c r="N306" s="82"/>
      <c r="O306" s="82"/>
      <c r="P306" s="82"/>
    </row>
    <row r="307" spans="1:16" ht="19.5" customHeight="1" x14ac:dyDescent="0.2">
      <c r="A307" s="92" t="s">
        <v>16</v>
      </c>
      <c r="B307" s="93" t="s">
        <v>17</v>
      </c>
      <c r="C307" s="93" t="s">
        <v>18</v>
      </c>
      <c r="D307" s="454" t="s">
        <v>19</v>
      </c>
      <c r="E307" s="455"/>
      <c r="F307" s="94" t="s">
        <v>20</v>
      </c>
      <c r="G307" s="256"/>
      <c r="H307" s="93" t="s">
        <v>158</v>
      </c>
      <c r="I307" s="668" t="s">
        <v>21</v>
      </c>
      <c r="J307" s="93" t="s">
        <v>22</v>
      </c>
      <c r="K307" s="94" t="s">
        <v>23</v>
      </c>
      <c r="L307" s="82"/>
      <c r="M307" s="82"/>
      <c r="N307" s="82"/>
      <c r="O307" s="82"/>
      <c r="P307" s="82"/>
    </row>
    <row r="308" spans="1:16" ht="19.5" customHeight="1" x14ac:dyDescent="0.2">
      <c r="A308" s="470" t="s">
        <v>24</v>
      </c>
      <c r="B308" s="42" t="s">
        <v>17</v>
      </c>
      <c r="C308" s="95" t="s">
        <v>87</v>
      </c>
      <c r="D308" s="170">
        <v>0.33333333333333331</v>
      </c>
      <c r="E308" s="170">
        <v>0.41666666666666669</v>
      </c>
      <c r="F308" s="311" t="s">
        <v>388</v>
      </c>
      <c r="G308" s="343"/>
      <c r="H308" s="480"/>
      <c r="I308" s="661">
        <v>5</v>
      </c>
      <c r="J308" s="490">
        <v>30</v>
      </c>
      <c r="K308" s="491">
        <f>SUM(H308:J308)</f>
        <v>35</v>
      </c>
      <c r="L308" s="487"/>
      <c r="M308" s="694" t="s">
        <v>413</v>
      </c>
      <c r="N308" s="694"/>
      <c r="O308" s="82"/>
      <c r="P308" s="82"/>
    </row>
    <row r="309" spans="1:16" ht="19.5" customHeight="1" x14ac:dyDescent="0.2">
      <c r="A309" s="444"/>
      <c r="B309" s="42" t="s">
        <v>37</v>
      </c>
      <c r="C309" s="95" t="s">
        <v>87</v>
      </c>
      <c r="D309" s="170">
        <v>0.41666666666666669</v>
      </c>
      <c r="E309" s="170">
        <v>0.5</v>
      </c>
      <c r="F309" s="311" t="s">
        <v>388</v>
      </c>
      <c r="G309" s="343"/>
      <c r="H309" s="444"/>
      <c r="I309" s="665"/>
      <c r="J309" s="450"/>
      <c r="K309" s="492"/>
      <c r="L309" s="444"/>
      <c r="M309" s="82"/>
      <c r="N309" s="82"/>
      <c r="O309" s="82"/>
      <c r="P309" s="82"/>
    </row>
    <row r="310" spans="1:16" ht="19.5" customHeight="1" x14ac:dyDescent="0.2">
      <c r="A310" s="98"/>
      <c r="B310" s="98"/>
      <c r="C310" s="98"/>
      <c r="D310" s="98"/>
      <c r="E310" s="98"/>
      <c r="F310" s="240"/>
      <c r="G310" s="240"/>
      <c r="H310" s="98"/>
      <c r="I310" s="98"/>
      <c r="J310" s="98"/>
      <c r="K310" s="240">
        <v>30</v>
      </c>
      <c r="L310" s="82"/>
      <c r="M310" s="82"/>
      <c r="N310" s="82"/>
      <c r="O310" s="82"/>
      <c r="P310" s="82"/>
    </row>
    <row r="311" spans="1:16" ht="19.5" customHeight="1" x14ac:dyDescent="0.2">
      <c r="L311" s="82"/>
      <c r="M311" s="82"/>
      <c r="N311" s="82"/>
      <c r="O311" s="82"/>
      <c r="P311" s="82"/>
    </row>
    <row r="312" spans="1:16" ht="19.5" customHeight="1" x14ac:dyDescent="0.2">
      <c r="A312" s="131" t="s">
        <v>6</v>
      </c>
      <c r="B312" s="120">
        <v>2018</v>
      </c>
      <c r="C312" s="131" t="s">
        <v>7</v>
      </c>
      <c r="D312" s="122" t="s">
        <v>164</v>
      </c>
      <c r="E312" s="131" t="s">
        <v>9</v>
      </c>
      <c r="F312" s="123" t="s">
        <v>136</v>
      </c>
      <c r="G312" s="122"/>
      <c r="H312" s="131" t="s">
        <v>98</v>
      </c>
      <c r="I312" s="120">
        <v>4</v>
      </c>
      <c r="J312" s="131" t="s">
        <v>12</v>
      </c>
      <c r="K312" s="123" t="s">
        <v>165</v>
      </c>
      <c r="L312" s="82"/>
      <c r="M312" s="82"/>
      <c r="N312" s="82"/>
      <c r="O312" s="82"/>
      <c r="P312" s="82"/>
    </row>
    <row r="313" spans="1:16" ht="19.5" customHeight="1" x14ac:dyDescent="0.2">
      <c r="A313" s="131" t="s">
        <v>6</v>
      </c>
      <c r="B313" s="120">
        <v>2023</v>
      </c>
      <c r="C313" s="131" t="s">
        <v>7</v>
      </c>
      <c r="D313" s="122" t="s">
        <v>166</v>
      </c>
      <c r="E313" s="131" t="s">
        <v>9</v>
      </c>
      <c r="F313" s="123" t="s">
        <v>136</v>
      </c>
      <c r="G313" s="122"/>
      <c r="H313" s="131" t="s">
        <v>98</v>
      </c>
      <c r="I313" s="120">
        <v>4</v>
      </c>
      <c r="J313" s="131" t="s">
        <v>12</v>
      </c>
      <c r="K313" s="123" t="s">
        <v>135</v>
      </c>
      <c r="L313" s="82"/>
      <c r="M313" s="82"/>
      <c r="N313" s="82"/>
      <c r="O313" s="82"/>
      <c r="P313" s="82"/>
    </row>
    <row r="314" spans="1:16" ht="19.5" customHeight="1" x14ac:dyDescent="0.2">
      <c r="A314" s="92" t="s">
        <v>16</v>
      </c>
      <c r="B314" s="93" t="s">
        <v>17</v>
      </c>
      <c r="C314" s="93" t="s">
        <v>18</v>
      </c>
      <c r="D314" s="454" t="s">
        <v>19</v>
      </c>
      <c r="E314" s="455"/>
      <c r="F314" s="94" t="s">
        <v>20</v>
      </c>
      <c r="G314" s="256"/>
      <c r="H314" s="93" t="s">
        <v>158</v>
      </c>
      <c r="I314" s="668" t="s">
        <v>21</v>
      </c>
      <c r="J314" s="93" t="s">
        <v>22</v>
      </c>
      <c r="K314" s="94" t="s">
        <v>23</v>
      </c>
      <c r="L314" s="82"/>
      <c r="M314" s="82"/>
      <c r="N314" s="82"/>
      <c r="O314" s="82"/>
      <c r="P314" s="82"/>
    </row>
    <row r="315" spans="1:16" ht="19.5" customHeight="1" x14ac:dyDescent="0.2">
      <c r="A315" s="470" t="s">
        <v>24</v>
      </c>
      <c r="B315" s="42" t="s">
        <v>17</v>
      </c>
      <c r="C315" s="169" t="s">
        <v>32</v>
      </c>
      <c r="D315" s="170">
        <v>0.70833333333333337</v>
      </c>
      <c r="E315" s="170">
        <v>0.83333333333333337</v>
      </c>
      <c r="F315" s="311" t="s">
        <v>389</v>
      </c>
      <c r="G315" s="343"/>
      <c r="H315" s="449" t="s">
        <v>100</v>
      </c>
      <c r="I315" s="661">
        <v>30</v>
      </c>
      <c r="J315" s="490"/>
      <c r="K315" s="491">
        <f>SUM(H315:J315)</f>
        <v>30</v>
      </c>
      <c r="L315" s="721"/>
      <c r="M315" s="694" t="s">
        <v>430</v>
      </c>
      <c r="N315" s="694"/>
      <c r="O315" s="82"/>
      <c r="P315" s="82"/>
    </row>
    <row r="316" spans="1:16" ht="19.5" customHeight="1" x14ac:dyDescent="0.2">
      <c r="A316" s="444"/>
      <c r="B316" s="42" t="s">
        <v>37</v>
      </c>
      <c r="C316" s="169" t="s">
        <v>32</v>
      </c>
      <c r="D316" s="170">
        <v>0.83333333333333337</v>
      </c>
      <c r="E316" s="170">
        <v>0.91666666666666663</v>
      </c>
      <c r="F316" s="311" t="s">
        <v>389</v>
      </c>
      <c r="G316" s="258"/>
      <c r="H316" s="450"/>
      <c r="I316" s="665"/>
      <c r="J316" s="450"/>
      <c r="K316" s="492"/>
      <c r="L316" s="722"/>
      <c r="M316" s="82"/>
      <c r="N316" s="82"/>
      <c r="O316" s="82"/>
      <c r="P316" s="82"/>
    </row>
    <row r="317" spans="1:16" ht="19.5" customHeight="1" x14ac:dyDescent="0.2">
      <c r="A317" s="98"/>
      <c r="B317" s="98"/>
      <c r="C317" s="98"/>
      <c r="D317" s="98"/>
      <c r="E317" s="98"/>
      <c r="F317" s="240"/>
      <c r="G317" s="240"/>
      <c r="H317" s="98"/>
      <c r="I317" s="98"/>
      <c r="J317" s="98"/>
      <c r="K317" s="240">
        <v>30</v>
      </c>
      <c r="L317" s="82"/>
      <c r="M317" s="82"/>
      <c r="N317" s="82"/>
      <c r="O317" s="82"/>
      <c r="P317" s="82"/>
    </row>
    <row r="318" spans="1:16" ht="19.5" customHeight="1" x14ac:dyDescent="0.2">
      <c r="A318" s="98"/>
      <c r="B318" s="98"/>
      <c r="C318" s="98"/>
      <c r="D318" s="98"/>
      <c r="E318" s="98"/>
      <c r="F318" s="240"/>
      <c r="G318" s="240"/>
      <c r="H318" s="98"/>
      <c r="I318" s="98"/>
      <c r="J318" s="98"/>
      <c r="K318" s="240"/>
      <c r="L318" s="82"/>
      <c r="M318" s="82"/>
      <c r="N318" s="82"/>
      <c r="O318" s="82"/>
      <c r="P318" s="82"/>
    </row>
    <row r="319" spans="1:16" ht="19.5" customHeight="1" x14ac:dyDescent="0.2">
      <c r="A319" s="131" t="s">
        <v>6</v>
      </c>
      <c r="B319" s="120">
        <v>2018</v>
      </c>
      <c r="C319" s="131" t="s">
        <v>7</v>
      </c>
      <c r="D319" s="122" t="s">
        <v>167</v>
      </c>
      <c r="E319" s="131" t="s">
        <v>9</v>
      </c>
      <c r="F319" s="123" t="s">
        <v>168</v>
      </c>
      <c r="G319" s="122"/>
      <c r="H319" s="131" t="s">
        <v>98</v>
      </c>
      <c r="I319" s="120">
        <v>4</v>
      </c>
      <c r="J319" s="131" t="s">
        <v>12</v>
      </c>
      <c r="K319" s="123" t="s">
        <v>169</v>
      </c>
      <c r="L319" s="82" t="s">
        <v>170</v>
      </c>
      <c r="M319" s="82"/>
      <c r="N319" s="82"/>
      <c r="O319" s="82"/>
      <c r="P319" s="82"/>
    </row>
    <row r="320" spans="1:16" ht="19.5" customHeight="1" x14ac:dyDescent="0.2">
      <c r="A320" s="131" t="s">
        <v>6</v>
      </c>
      <c r="B320" s="120">
        <v>2023</v>
      </c>
      <c r="C320" s="131" t="s">
        <v>7</v>
      </c>
      <c r="D320" s="122" t="s">
        <v>171</v>
      </c>
      <c r="E320" s="131" t="s">
        <v>9</v>
      </c>
      <c r="F320" s="123" t="s">
        <v>168</v>
      </c>
      <c r="G320" s="122"/>
      <c r="H320" s="131" t="s">
        <v>98</v>
      </c>
      <c r="I320" s="120">
        <v>4</v>
      </c>
      <c r="J320" s="131" t="s">
        <v>12</v>
      </c>
      <c r="K320" s="123" t="s">
        <v>172</v>
      </c>
      <c r="L320" s="82"/>
      <c r="M320" s="82"/>
      <c r="N320" s="82"/>
      <c r="O320" s="82"/>
      <c r="P320" s="82"/>
    </row>
    <row r="321" spans="1:16" ht="19.5" customHeight="1" x14ac:dyDescent="0.2">
      <c r="A321" s="92" t="s">
        <v>16</v>
      </c>
      <c r="B321" s="93" t="s">
        <v>17</v>
      </c>
      <c r="C321" s="93" t="s">
        <v>18</v>
      </c>
      <c r="D321" s="454" t="s">
        <v>19</v>
      </c>
      <c r="E321" s="455"/>
      <c r="F321" s="94" t="s">
        <v>20</v>
      </c>
      <c r="G321" s="256"/>
      <c r="H321" s="93" t="s">
        <v>158</v>
      </c>
      <c r="I321" s="93" t="s">
        <v>21</v>
      </c>
      <c r="J321" s="93" t="s">
        <v>22</v>
      </c>
      <c r="K321" s="94" t="s">
        <v>23</v>
      </c>
      <c r="L321" s="82"/>
      <c r="M321" s="82"/>
      <c r="N321" s="82"/>
      <c r="O321" s="82"/>
      <c r="P321" s="82"/>
    </row>
    <row r="322" spans="1:16" ht="19.5" customHeight="1" x14ac:dyDescent="0.2">
      <c r="A322" s="470" t="s">
        <v>24</v>
      </c>
      <c r="B322" s="42" t="s">
        <v>17</v>
      </c>
      <c r="C322" s="169" t="s">
        <v>36</v>
      </c>
      <c r="D322" s="170">
        <v>0.54166666666666663</v>
      </c>
      <c r="E322" s="170">
        <v>0.66666666666666663</v>
      </c>
      <c r="F322" s="311" t="s">
        <v>398</v>
      </c>
      <c r="G322" s="343"/>
      <c r="H322" s="449" t="s">
        <v>100</v>
      </c>
      <c r="I322" s="449"/>
      <c r="J322" s="490">
        <v>30</v>
      </c>
      <c r="K322" s="491">
        <f>SUM(H322:J322)</f>
        <v>30</v>
      </c>
      <c r="L322" s="565"/>
      <c r="M322" s="82"/>
      <c r="N322" s="82"/>
      <c r="O322" s="82"/>
      <c r="P322" s="82"/>
    </row>
    <row r="323" spans="1:16" ht="19.5" customHeight="1" x14ac:dyDescent="0.2">
      <c r="A323" s="444"/>
      <c r="B323" s="42" t="s">
        <v>37</v>
      </c>
      <c r="C323" s="169" t="s">
        <v>36</v>
      </c>
      <c r="D323" s="170">
        <v>0.66666666666666663</v>
      </c>
      <c r="E323" s="170">
        <v>0.75</v>
      </c>
      <c r="F323" s="311" t="s">
        <v>398</v>
      </c>
      <c r="G323" s="343"/>
      <c r="H323" s="450"/>
      <c r="I323" s="450"/>
      <c r="J323" s="450"/>
      <c r="K323" s="492"/>
      <c r="L323" s="444"/>
      <c r="M323" s="82"/>
      <c r="N323" s="82"/>
      <c r="O323" s="82"/>
      <c r="P323" s="82"/>
    </row>
    <row r="324" spans="1:16" ht="19.5" customHeight="1" x14ac:dyDescent="0.2">
      <c r="A324" s="98"/>
      <c r="B324" s="98"/>
      <c r="C324" s="98"/>
      <c r="D324" s="98"/>
      <c r="E324" s="98"/>
      <c r="F324" s="240"/>
      <c r="G324" s="196" t="s">
        <v>173</v>
      </c>
      <c r="H324" s="98"/>
      <c r="I324" s="98"/>
      <c r="J324" s="98"/>
      <c r="K324" s="150">
        <v>30</v>
      </c>
      <c r="L324" s="82"/>
      <c r="M324" s="82"/>
      <c r="N324" s="82"/>
      <c r="O324" s="82"/>
      <c r="P324" s="82"/>
    </row>
    <row r="325" spans="1:16" ht="19.5" customHeight="1" x14ac:dyDescent="0.2">
      <c r="A325" s="98"/>
      <c r="B325" s="98"/>
      <c r="C325" s="98"/>
      <c r="D325" s="98"/>
      <c r="E325" s="98"/>
      <c r="F325" s="240"/>
      <c r="G325" s="196"/>
      <c r="H325" s="98"/>
      <c r="I325" s="98"/>
      <c r="J325" s="98"/>
      <c r="K325" s="150"/>
      <c r="L325" s="82"/>
      <c r="M325" s="82"/>
      <c r="N325" s="82"/>
      <c r="O325" s="82"/>
      <c r="P325" s="82"/>
    </row>
    <row r="326" spans="1:16" ht="19.5" customHeight="1" x14ac:dyDescent="0.2">
      <c r="A326" s="131" t="s">
        <v>6</v>
      </c>
      <c r="B326" s="120">
        <v>2018</v>
      </c>
      <c r="C326" s="131" t="s">
        <v>7</v>
      </c>
      <c r="D326" s="122" t="s">
        <v>174</v>
      </c>
      <c r="E326" s="131" t="s">
        <v>9</v>
      </c>
      <c r="F326" s="123" t="s">
        <v>175</v>
      </c>
      <c r="G326" s="122"/>
      <c r="H326" s="131" t="s">
        <v>98</v>
      </c>
      <c r="I326" s="120">
        <v>3</v>
      </c>
      <c r="J326" s="131" t="s">
        <v>12</v>
      </c>
      <c r="K326" s="123" t="s">
        <v>176</v>
      </c>
      <c r="L326" s="82"/>
      <c r="M326" s="82"/>
      <c r="N326" s="82"/>
      <c r="O326" s="82"/>
      <c r="P326" s="82"/>
    </row>
    <row r="327" spans="1:16" ht="19.5" customHeight="1" x14ac:dyDescent="0.2">
      <c r="A327" s="131" t="s">
        <v>6</v>
      </c>
      <c r="B327" s="120">
        <v>2023</v>
      </c>
      <c r="C327" s="131" t="s">
        <v>7</v>
      </c>
      <c r="D327" s="122" t="s">
        <v>177</v>
      </c>
      <c r="E327" s="131" t="s">
        <v>9</v>
      </c>
      <c r="F327" s="123" t="s">
        <v>175</v>
      </c>
      <c r="G327" s="122"/>
      <c r="H327" s="131" t="s">
        <v>98</v>
      </c>
      <c r="I327" s="120">
        <v>3</v>
      </c>
      <c r="J327" s="131" t="s">
        <v>12</v>
      </c>
      <c r="K327" s="123" t="s">
        <v>178</v>
      </c>
      <c r="L327" s="82"/>
      <c r="M327" s="82"/>
      <c r="N327" s="82"/>
      <c r="O327" s="82"/>
      <c r="P327" s="82"/>
    </row>
    <row r="328" spans="1:16" ht="19.5" customHeight="1" x14ac:dyDescent="0.2">
      <c r="A328" s="92" t="s">
        <v>16</v>
      </c>
      <c r="B328" s="93" t="s">
        <v>17</v>
      </c>
      <c r="C328" s="93" t="s">
        <v>18</v>
      </c>
      <c r="D328" s="557" t="s">
        <v>19</v>
      </c>
      <c r="E328" s="558"/>
      <c r="F328" s="160" t="s">
        <v>20</v>
      </c>
      <c r="G328" s="256"/>
      <c r="H328" s="93" t="s">
        <v>158</v>
      </c>
      <c r="I328" s="93" t="s">
        <v>21</v>
      </c>
      <c r="J328" s="93" t="s">
        <v>22</v>
      </c>
      <c r="K328" s="94" t="s">
        <v>23</v>
      </c>
      <c r="L328" s="82"/>
      <c r="M328" s="82"/>
      <c r="N328" s="82"/>
      <c r="O328" s="82"/>
      <c r="P328" s="82"/>
    </row>
    <row r="329" spans="1:16" ht="19.5" customHeight="1" x14ac:dyDescent="0.2">
      <c r="A329" s="470" t="s">
        <v>24</v>
      </c>
      <c r="B329" s="42" t="s">
        <v>17</v>
      </c>
      <c r="C329" s="361" t="s">
        <v>32</v>
      </c>
      <c r="D329" s="362">
        <v>0.54166666666666663</v>
      </c>
      <c r="E329" s="362">
        <v>0.625</v>
      </c>
      <c r="F329" s="344" t="s">
        <v>107</v>
      </c>
      <c r="G329" s="258"/>
      <c r="H329" s="449"/>
      <c r="I329" s="449"/>
      <c r="J329" s="490">
        <v>40</v>
      </c>
      <c r="K329" s="491">
        <f>SUM(H329:J329)</f>
        <v>40</v>
      </c>
      <c r="L329" s="565"/>
      <c r="M329" s="197"/>
      <c r="N329" s="82"/>
      <c r="O329" s="82"/>
      <c r="P329" s="82"/>
    </row>
    <row r="330" spans="1:16" ht="19.5" customHeight="1" x14ac:dyDescent="0.2">
      <c r="A330" s="444"/>
      <c r="B330" s="42" t="s">
        <v>26</v>
      </c>
      <c r="C330" s="361" t="s">
        <v>32</v>
      </c>
      <c r="D330" s="362">
        <v>0.625</v>
      </c>
      <c r="E330" s="362">
        <v>0.70833333333333337</v>
      </c>
      <c r="F330" s="344" t="s">
        <v>107</v>
      </c>
      <c r="G330" s="274"/>
      <c r="H330" s="450"/>
      <c r="I330" s="450"/>
      <c r="J330" s="450"/>
      <c r="K330" s="492"/>
      <c r="L330" s="444"/>
      <c r="M330" s="130"/>
      <c r="N330" s="82"/>
      <c r="O330" s="82"/>
      <c r="P330" s="82"/>
    </row>
    <row r="331" spans="1:16" s="436" customFormat="1" ht="19.5" customHeight="1" x14ac:dyDescent="0.2">
      <c r="A331" s="695" t="s">
        <v>27</v>
      </c>
      <c r="B331" s="696" t="s">
        <v>17</v>
      </c>
      <c r="C331" s="697" t="s">
        <v>32</v>
      </c>
      <c r="D331" s="698">
        <v>0.75</v>
      </c>
      <c r="E331" s="698">
        <v>0.83333333333333337</v>
      </c>
      <c r="F331" s="699"/>
      <c r="G331" s="700"/>
      <c r="H331" s="689"/>
      <c r="I331" s="689"/>
      <c r="J331" s="701">
        <v>40</v>
      </c>
      <c r="K331" s="702">
        <f>SUM(H331:J331)</f>
        <v>40</v>
      </c>
      <c r="L331" s="703"/>
      <c r="M331" s="707" t="s">
        <v>419</v>
      </c>
      <c r="N331" s="82"/>
      <c r="O331" s="82"/>
      <c r="P331" s="82"/>
    </row>
    <row r="332" spans="1:16" s="436" customFormat="1" ht="19.5" customHeight="1" x14ac:dyDescent="0.2">
      <c r="A332" s="664"/>
      <c r="B332" s="696" t="s">
        <v>26</v>
      </c>
      <c r="C332" s="697" t="s">
        <v>32</v>
      </c>
      <c r="D332" s="698">
        <v>0.83333333333333337</v>
      </c>
      <c r="E332" s="698">
        <v>0.91666666666666663</v>
      </c>
      <c r="F332" s="699"/>
      <c r="G332" s="704"/>
      <c r="H332" s="667"/>
      <c r="I332" s="667"/>
      <c r="J332" s="667"/>
      <c r="K332" s="705"/>
      <c r="L332" s="664"/>
      <c r="M332" s="130"/>
      <c r="N332" s="82"/>
      <c r="O332" s="82"/>
      <c r="P332" s="82"/>
    </row>
    <row r="333" spans="1:16" s="436" customFormat="1" ht="19.5" customHeight="1" x14ac:dyDescent="0.2">
      <c r="A333" s="384"/>
      <c r="B333" s="414"/>
      <c r="C333" s="417"/>
      <c r="D333" s="418"/>
      <c r="E333" s="418"/>
      <c r="F333" s="420"/>
      <c r="G333" s="419"/>
      <c r="H333" s="384"/>
      <c r="I333" s="384"/>
      <c r="J333" s="384"/>
      <c r="K333" s="390"/>
      <c r="L333" s="384"/>
      <c r="M333" s="130"/>
      <c r="N333" s="82"/>
      <c r="O333" s="82"/>
      <c r="P333" s="82"/>
    </row>
    <row r="334" spans="1:16" s="353" customFormat="1" ht="19.5" customHeight="1" x14ac:dyDescent="0.2">
      <c r="A334" s="384"/>
      <c r="B334" s="414"/>
      <c r="C334" s="417"/>
      <c r="D334" s="418"/>
      <c r="E334" s="418"/>
      <c r="F334" s="420"/>
      <c r="G334" s="419"/>
      <c r="H334" s="384"/>
      <c r="I334" s="384"/>
      <c r="J334" s="384"/>
      <c r="K334" s="390">
        <v>40</v>
      </c>
      <c r="L334" s="384"/>
      <c r="M334" s="130"/>
      <c r="N334" s="82"/>
      <c r="O334" s="82"/>
      <c r="P334" s="82"/>
    </row>
    <row r="335" spans="1:16" ht="19.5" customHeight="1" x14ac:dyDescent="0.2">
      <c r="A335" s="131" t="s">
        <v>6</v>
      </c>
      <c r="B335" s="120">
        <v>2018</v>
      </c>
      <c r="C335" s="131" t="s">
        <v>7</v>
      </c>
      <c r="D335" s="122" t="s">
        <v>414</v>
      </c>
      <c r="E335" s="131" t="s">
        <v>9</v>
      </c>
      <c r="F335" s="123" t="s">
        <v>180</v>
      </c>
      <c r="G335" s="122"/>
      <c r="H335" s="131" t="s">
        <v>98</v>
      </c>
      <c r="I335" s="120">
        <v>3</v>
      </c>
      <c r="J335" s="131" t="s">
        <v>12</v>
      </c>
      <c r="K335" s="123" t="s">
        <v>181</v>
      </c>
      <c r="L335" s="82"/>
      <c r="M335" s="82"/>
      <c r="N335" s="82"/>
      <c r="O335" s="82"/>
      <c r="P335" s="82"/>
    </row>
    <row r="336" spans="1:16" ht="19.5" customHeight="1" x14ac:dyDescent="0.2">
      <c r="A336" s="131" t="s">
        <v>6</v>
      </c>
      <c r="B336" s="120">
        <v>2023</v>
      </c>
      <c r="C336" s="131" t="s">
        <v>7</v>
      </c>
      <c r="D336" s="122" t="s">
        <v>179</v>
      </c>
      <c r="E336" s="131" t="s">
        <v>9</v>
      </c>
      <c r="F336" s="123" t="s">
        <v>180</v>
      </c>
      <c r="G336" s="122"/>
      <c r="H336" s="131" t="s">
        <v>98</v>
      </c>
      <c r="I336" s="120">
        <v>3</v>
      </c>
      <c r="J336" s="131" t="s">
        <v>12</v>
      </c>
      <c r="K336" s="123" t="s">
        <v>181</v>
      </c>
      <c r="L336" s="82"/>
      <c r="M336" s="82"/>
      <c r="N336" s="82"/>
      <c r="O336" s="82"/>
      <c r="P336" s="82"/>
    </row>
    <row r="337" spans="1:16" ht="19.5" customHeight="1" x14ac:dyDescent="0.2">
      <c r="A337" s="92" t="s">
        <v>16</v>
      </c>
      <c r="B337" s="93" t="s">
        <v>17</v>
      </c>
      <c r="C337" s="93" t="s">
        <v>18</v>
      </c>
      <c r="D337" s="454" t="s">
        <v>19</v>
      </c>
      <c r="E337" s="455"/>
      <c r="F337" s="160" t="s">
        <v>20</v>
      </c>
      <c r="G337" s="256"/>
      <c r="H337" s="93" t="s">
        <v>158</v>
      </c>
      <c r="I337" s="668" t="s">
        <v>21</v>
      </c>
      <c r="J337" s="93" t="s">
        <v>22</v>
      </c>
      <c r="K337" s="94" t="s">
        <v>23</v>
      </c>
      <c r="L337" s="82"/>
      <c r="M337" s="82"/>
      <c r="N337" s="82"/>
      <c r="O337" s="82"/>
      <c r="P337" s="82"/>
    </row>
    <row r="338" spans="1:16" ht="19.5" customHeight="1" x14ac:dyDescent="0.2">
      <c r="A338" s="470" t="s">
        <v>24</v>
      </c>
      <c r="B338" s="42" t="s">
        <v>17</v>
      </c>
      <c r="C338" s="95" t="s">
        <v>48</v>
      </c>
      <c r="D338" s="96">
        <v>0.54166666666666663</v>
      </c>
      <c r="E338" s="194">
        <v>0.66666666666666663</v>
      </c>
      <c r="F338" s="299" t="s">
        <v>182</v>
      </c>
      <c r="G338" s="258"/>
      <c r="H338" s="566"/>
      <c r="I338" s="669">
        <v>5</v>
      </c>
      <c r="J338" s="490">
        <v>30</v>
      </c>
      <c r="K338" s="491">
        <f>SUM(H338:J338)</f>
        <v>35</v>
      </c>
      <c r="L338" s="487"/>
      <c r="M338" s="694" t="s">
        <v>413</v>
      </c>
      <c r="N338" s="694"/>
      <c r="O338" s="82"/>
      <c r="P338" s="82"/>
    </row>
    <row r="339" spans="1:16" ht="19.5" customHeight="1" x14ac:dyDescent="0.2">
      <c r="A339" s="444"/>
      <c r="B339" s="42" t="s">
        <v>37</v>
      </c>
      <c r="C339" s="95" t="s">
        <v>48</v>
      </c>
      <c r="D339" s="96">
        <v>0.66666666666666663</v>
      </c>
      <c r="E339" s="194">
        <v>0.75</v>
      </c>
      <c r="F339" s="299" t="s">
        <v>182</v>
      </c>
      <c r="G339" s="258"/>
      <c r="H339" s="457"/>
      <c r="I339" s="667"/>
      <c r="J339" s="450"/>
      <c r="K339" s="492"/>
      <c r="L339" s="444"/>
      <c r="M339" s="82"/>
      <c r="N339" s="82"/>
      <c r="O339" s="82"/>
      <c r="P339" s="82"/>
    </row>
    <row r="340" spans="1:16" s="436" customFormat="1" ht="19.5" customHeight="1" x14ac:dyDescent="0.2">
      <c r="A340" s="695" t="s">
        <v>27</v>
      </c>
      <c r="B340" s="696" t="s">
        <v>17</v>
      </c>
      <c r="C340" s="709" t="s">
        <v>25</v>
      </c>
      <c r="D340" s="710">
        <v>0.70833333333333337</v>
      </c>
      <c r="E340" s="711">
        <v>0.83333333333333337</v>
      </c>
      <c r="F340" s="700"/>
      <c r="G340" s="700"/>
      <c r="H340" s="712"/>
      <c r="I340" s="713"/>
      <c r="J340" s="701">
        <v>30</v>
      </c>
      <c r="K340" s="702">
        <f>SUM(H340:J340)</f>
        <v>30</v>
      </c>
      <c r="L340" s="714"/>
      <c r="M340" s="694" t="s">
        <v>419</v>
      </c>
      <c r="N340" s="82"/>
      <c r="O340" s="82"/>
      <c r="P340" s="82"/>
    </row>
    <row r="341" spans="1:16" s="436" customFormat="1" ht="19.5" customHeight="1" x14ac:dyDescent="0.2">
      <c r="A341" s="664"/>
      <c r="B341" s="696" t="s">
        <v>37</v>
      </c>
      <c r="C341" s="709" t="s">
        <v>25</v>
      </c>
      <c r="D341" s="710">
        <v>0.83333333333333337</v>
      </c>
      <c r="E341" s="711">
        <v>0.91666666666666663</v>
      </c>
      <c r="F341" s="700"/>
      <c r="G341" s="700"/>
      <c r="H341" s="667"/>
      <c r="I341" s="667"/>
      <c r="J341" s="667"/>
      <c r="K341" s="705"/>
      <c r="L341" s="664"/>
      <c r="M341" s="82"/>
      <c r="N341" s="82"/>
      <c r="O341" s="82"/>
      <c r="P341" s="82"/>
    </row>
    <row r="342" spans="1:16" s="353" customFormat="1" ht="19.5" customHeight="1" x14ac:dyDescent="0.2">
      <c r="A342" s="384"/>
      <c r="B342" s="414"/>
      <c r="C342" s="415"/>
      <c r="D342" s="416"/>
      <c r="E342" s="416"/>
      <c r="F342" s="708"/>
      <c r="G342" s="258"/>
      <c r="H342" s="384"/>
      <c r="I342" s="384"/>
      <c r="J342" s="384"/>
      <c r="K342" s="390">
        <v>30</v>
      </c>
      <c r="L342" s="384"/>
      <c r="M342" s="82"/>
      <c r="N342" s="82"/>
      <c r="O342" s="82"/>
      <c r="P342" s="82"/>
    </row>
    <row r="343" spans="1:16" ht="19.5" customHeight="1" x14ac:dyDescent="0.2">
      <c r="A343" s="98"/>
      <c r="B343" s="98"/>
      <c r="C343" s="98"/>
      <c r="D343" s="98"/>
      <c r="E343" s="98"/>
      <c r="F343" s="258"/>
      <c r="G343" s="258"/>
      <c r="H343" s="98"/>
      <c r="I343" s="98"/>
      <c r="J343" s="98"/>
      <c r="K343" s="150"/>
      <c r="L343" s="82"/>
      <c r="M343" s="82"/>
      <c r="N343" s="82"/>
      <c r="O343" s="82"/>
      <c r="P343" s="82"/>
    </row>
    <row r="344" spans="1:16" ht="19.5" customHeight="1" x14ac:dyDescent="0.2">
      <c r="A344" s="131" t="s">
        <v>6</v>
      </c>
      <c r="B344" s="120">
        <v>2023</v>
      </c>
      <c r="C344" s="131" t="s">
        <v>7</v>
      </c>
      <c r="D344" s="122" t="s">
        <v>183</v>
      </c>
      <c r="E344" s="131" t="s">
        <v>9</v>
      </c>
      <c r="F344" s="123" t="s">
        <v>184</v>
      </c>
      <c r="G344" s="122"/>
      <c r="H344" s="131" t="s">
        <v>98</v>
      </c>
      <c r="I344" s="120">
        <v>3</v>
      </c>
      <c r="J344" s="131" t="s">
        <v>12</v>
      </c>
      <c r="K344" s="123" t="s">
        <v>148</v>
      </c>
      <c r="L344" s="82"/>
      <c r="M344" s="82"/>
      <c r="N344" s="82"/>
      <c r="O344" s="82"/>
      <c r="P344" s="82"/>
    </row>
    <row r="345" spans="1:16" ht="19.5" customHeight="1" x14ac:dyDescent="0.2">
      <c r="A345" s="92" t="s">
        <v>16</v>
      </c>
      <c r="B345" s="93" t="s">
        <v>17</v>
      </c>
      <c r="C345" s="93" t="s">
        <v>18</v>
      </c>
      <c r="D345" s="454" t="s">
        <v>19</v>
      </c>
      <c r="E345" s="455"/>
      <c r="F345" s="94" t="s">
        <v>20</v>
      </c>
      <c r="G345" s="256"/>
      <c r="H345" s="93" t="s">
        <v>158</v>
      </c>
      <c r="I345" s="93" t="s">
        <v>21</v>
      </c>
      <c r="J345" s="93" t="s">
        <v>22</v>
      </c>
      <c r="K345" s="94" t="s">
        <v>23</v>
      </c>
      <c r="L345" s="82"/>
      <c r="M345" s="82"/>
      <c r="N345" s="82"/>
      <c r="O345" s="82"/>
      <c r="P345" s="82"/>
    </row>
    <row r="346" spans="1:16" ht="19.5" customHeight="1" x14ac:dyDescent="0.2">
      <c r="A346" s="470" t="s">
        <v>24</v>
      </c>
      <c r="B346" s="42" t="s">
        <v>17</v>
      </c>
      <c r="C346" s="95" t="s">
        <v>44</v>
      </c>
      <c r="D346" s="198">
        <v>0.75</v>
      </c>
      <c r="E346" s="198">
        <v>0.83333333333333337</v>
      </c>
      <c r="F346" s="299" t="s">
        <v>185</v>
      </c>
      <c r="G346" s="258"/>
      <c r="H346" s="480"/>
      <c r="I346" s="449"/>
      <c r="J346" s="490">
        <v>30</v>
      </c>
      <c r="K346" s="491">
        <f>SUM(H346:J346)</f>
        <v>30</v>
      </c>
      <c r="L346" s="487"/>
      <c r="M346" s="82"/>
      <c r="N346" s="82"/>
      <c r="O346" s="82"/>
      <c r="P346" s="82"/>
    </row>
    <row r="347" spans="1:16" ht="19.5" customHeight="1" x14ac:dyDescent="0.2">
      <c r="A347" s="444"/>
      <c r="B347" s="42" t="s">
        <v>37</v>
      </c>
      <c r="C347" s="95" t="s">
        <v>44</v>
      </c>
      <c r="D347" s="198">
        <v>0.83333333333333337</v>
      </c>
      <c r="E347" s="198">
        <v>0.91666666666666663</v>
      </c>
      <c r="F347" s="299" t="s">
        <v>185</v>
      </c>
      <c r="G347" s="258"/>
      <c r="H347" s="444"/>
      <c r="I347" s="450"/>
      <c r="J347" s="450"/>
      <c r="K347" s="492"/>
      <c r="L347" s="444"/>
      <c r="M347" s="82"/>
      <c r="N347" s="82"/>
      <c r="O347" s="82"/>
      <c r="P347" s="82"/>
    </row>
    <row r="348" spans="1:16" ht="19.5" customHeight="1" x14ac:dyDescent="0.2">
      <c r="A348" s="98"/>
      <c r="B348" s="98"/>
      <c r="C348" s="199"/>
      <c r="D348" s="155"/>
      <c r="E348" s="155"/>
      <c r="F348" s="240"/>
      <c r="G348" s="240"/>
      <c r="H348" s="98"/>
      <c r="I348" s="98"/>
      <c r="J348" s="98"/>
      <c r="K348" s="240">
        <v>30</v>
      </c>
      <c r="L348" s="82"/>
      <c r="M348" s="82"/>
      <c r="N348" s="82"/>
      <c r="O348" s="82"/>
      <c r="P348" s="82"/>
    </row>
    <row r="349" spans="1:16" ht="19.5" customHeight="1" x14ac:dyDescent="0.2">
      <c r="A349" s="82"/>
      <c r="B349" s="82"/>
      <c r="C349" s="82"/>
      <c r="D349" s="82"/>
      <c r="E349" s="82"/>
      <c r="F349" s="117"/>
      <c r="G349" s="117"/>
      <c r="H349" s="82"/>
      <c r="I349" s="82"/>
      <c r="J349" s="117"/>
      <c r="K349" s="117"/>
      <c r="L349" s="82"/>
      <c r="M349" s="82"/>
      <c r="N349" s="82"/>
      <c r="O349" s="82"/>
      <c r="P349" s="82"/>
    </row>
    <row r="350" spans="1:16" ht="19.5" customHeight="1" x14ac:dyDescent="0.2">
      <c r="A350" s="83" t="s">
        <v>4</v>
      </c>
      <c r="B350" s="84" t="s">
        <v>186</v>
      </c>
      <c r="C350" s="85"/>
      <c r="D350" s="85"/>
      <c r="E350" s="85"/>
      <c r="F350" s="255"/>
      <c r="G350" s="255"/>
      <c r="H350" s="85"/>
      <c r="I350" s="85"/>
      <c r="J350" s="85"/>
      <c r="K350" s="117"/>
      <c r="L350" s="82"/>
      <c r="M350" s="82"/>
      <c r="N350" s="82"/>
      <c r="O350" s="82"/>
      <c r="P350" s="82"/>
    </row>
    <row r="351" spans="1:16" ht="19.5" customHeight="1" x14ac:dyDescent="0.2">
      <c r="A351" s="82"/>
      <c r="B351" s="82"/>
      <c r="C351" s="82"/>
      <c r="D351" s="82"/>
      <c r="E351" s="82"/>
      <c r="F351" s="117"/>
      <c r="G351" s="117"/>
      <c r="H351" s="82"/>
      <c r="I351" s="119"/>
      <c r="J351" s="82"/>
      <c r="K351" s="117"/>
      <c r="L351" s="82"/>
      <c r="M351" s="82"/>
      <c r="N351" s="82"/>
      <c r="O351" s="82"/>
      <c r="P351" s="82"/>
    </row>
    <row r="352" spans="1:16" ht="19.5" customHeight="1" x14ac:dyDescent="0.2">
      <c r="A352" s="131" t="s">
        <v>6</v>
      </c>
      <c r="B352" s="121">
        <v>2018</v>
      </c>
      <c r="C352" s="131" t="s">
        <v>7</v>
      </c>
      <c r="D352" s="122" t="s">
        <v>187</v>
      </c>
      <c r="E352" s="131" t="s">
        <v>9</v>
      </c>
      <c r="F352" s="123" t="s">
        <v>188</v>
      </c>
      <c r="G352" s="120" t="s">
        <v>11</v>
      </c>
      <c r="H352" s="121">
        <v>4</v>
      </c>
      <c r="I352" s="131" t="s">
        <v>12</v>
      </c>
      <c r="J352" s="121" t="s">
        <v>189</v>
      </c>
      <c r="K352" s="294"/>
      <c r="L352" s="200"/>
      <c r="M352" s="82"/>
      <c r="N352" s="82"/>
      <c r="O352" s="82"/>
      <c r="P352" s="82"/>
    </row>
    <row r="353" spans="1:26" ht="19.5" customHeight="1" x14ac:dyDescent="0.2">
      <c r="A353" s="131" t="s">
        <v>6</v>
      </c>
      <c r="B353" s="121">
        <v>2023</v>
      </c>
      <c r="C353" s="131" t="s">
        <v>7</v>
      </c>
      <c r="D353" s="122" t="s">
        <v>190</v>
      </c>
      <c r="E353" s="131" t="s">
        <v>9</v>
      </c>
      <c r="F353" s="123" t="s">
        <v>188</v>
      </c>
      <c r="G353" s="120" t="s">
        <v>11</v>
      </c>
      <c r="H353" s="121">
        <v>4</v>
      </c>
      <c r="I353" s="131" t="s">
        <v>12</v>
      </c>
      <c r="J353" s="121" t="s">
        <v>172</v>
      </c>
      <c r="K353" s="294"/>
      <c r="L353" s="200"/>
      <c r="M353" s="82"/>
      <c r="N353" s="82"/>
      <c r="O353" s="82"/>
      <c r="P353" s="82"/>
      <c r="Q353" s="158"/>
      <c r="R353" s="158"/>
      <c r="S353" s="158"/>
      <c r="T353" s="158"/>
      <c r="U353" s="158"/>
      <c r="V353" s="158"/>
      <c r="W353" s="158"/>
      <c r="X353" s="158"/>
      <c r="Y353" s="158"/>
      <c r="Z353" s="158"/>
    </row>
    <row r="354" spans="1:26" ht="19.5" customHeight="1" x14ac:dyDescent="0.2">
      <c r="A354" s="92" t="s">
        <v>16</v>
      </c>
      <c r="B354" s="93" t="s">
        <v>17</v>
      </c>
      <c r="C354" s="93" t="s">
        <v>18</v>
      </c>
      <c r="D354" s="454" t="s">
        <v>19</v>
      </c>
      <c r="E354" s="455"/>
      <c r="F354" s="94" t="s">
        <v>20</v>
      </c>
      <c r="G354" s="160"/>
      <c r="H354" s="93" t="s">
        <v>21</v>
      </c>
      <c r="I354" s="93" t="s">
        <v>22</v>
      </c>
      <c r="J354" s="94" t="s">
        <v>23</v>
      </c>
      <c r="K354" s="117"/>
      <c r="L354" s="82"/>
      <c r="M354" s="82"/>
      <c r="N354" s="82"/>
      <c r="O354" s="82"/>
      <c r="P354" s="82"/>
    </row>
    <row r="355" spans="1:26" ht="19.5" customHeight="1" x14ac:dyDescent="0.2">
      <c r="A355" s="465" t="s">
        <v>24</v>
      </c>
      <c r="B355" s="125" t="s">
        <v>17</v>
      </c>
      <c r="C355" s="138" t="s">
        <v>36</v>
      </c>
      <c r="D355" s="127">
        <v>0.54166666666666663</v>
      </c>
      <c r="E355" s="127">
        <v>0.66666666666666663</v>
      </c>
      <c r="F355" s="329" t="s">
        <v>399</v>
      </c>
      <c r="G355" s="275"/>
      <c r="H355" s="556"/>
      <c r="I355" s="497">
        <v>30</v>
      </c>
      <c r="J355" s="451">
        <f>SUM(H355:I355)</f>
        <v>30</v>
      </c>
      <c r="K355" s="452"/>
      <c r="L355" s="201"/>
      <c r="M355" s="82"/>
      <c r="N355" s="82"/>
      <c r="O355" s="82"/>
      <c r="P355" s="82"/>
    </row>
    <row r="356" spans="1:26" ht="19.5" customHeight="1" x14ac:dyDescent="0.2">
      <c r="A356" s="444"/>
      <c r="B356" s="125" t="s">
        <v>37</v>
      </c>
      <c r="C356" s="138" t="s">
        <v>36</v>
      </c>
      <c r="D356" s="127">
        <v>0.66666666666666663</v>
      </c>
      <c r="E356" s="127">
        <v>0.75</v>
      </c>
      <c r="F356" s="329" t="s">
        <v>399</v>
      </c>
      <c r="G356" s="275"/>
      <c r="H356" s="450"/>
      <c r="I356" s="444"/>
      <c r="J356" s="450"/>
      <c r="K356" s="453"/>
      <c r="L356" s="82"/>
      <c r="M356" s="82"/>
      <c r="N356" s="82"/>
      <c r="O356" s="82"/>
      <c r="P356" s="82"/>
    </row>
    <row r="357" spans="1:26" ht="19.5" customHeight="1" x14ac:dyDescent="0.2">
      <c r="A357" s="465" t="s">
        <v>27</v>
      </c>
      <c r="B357" s="125" t="s">
        <v>17</v>
      </c>
      <c r="C357" s="138" t="s">
        <v>48</v>
      </c>
      <c r="D357" s="127">
        <v>0.54166666666666663</v>
      </c>
      <c r="E357" s="345">
        <v>0.66666666666666663</v>
      </c>
      <c r="F357" s="346"/>
      <c r="G357" s="275"/>
      <c r="H357" s="556"/>
      <c r="I357" s="497">
        <v>30</v>
      </c>
      <c r="J357" s="451">
        <f>SUM(H357:I357)</f>
        <v>30</v>
      </c>
      <c r="K357" s="452"/>
      <c r="L357" s="130"/>
      <c r="M357" s="130"/>
      <c r="N357" s="82"/>
      <c r="O357" s="82"/>
      <c r="P357" s="82"/>
    </row>
    <row r="358" spans="1:26" ht="19.5" customHeight="1" x14ac:dyDescent="0.2">
      <c r="A358" s="444"/>
      <c r="B358" s="125" t="s">
        <v>37</v>
      </c>
      <c r="C358" s="138" t="s">
        <v>48</v>
      </c>
      <c r="D358" s="127">
        <v>0.66666666666666663</v>
      </c>
      <c r="E358" s="345">
        <v>0.75</v>
      </c>
      <c r="F358" s="346"/>
      <c r="G358" s="275"/>
      <c r="H358" s="450"/>
      <c r="I358" s="444"/>
      <c r="J358" s="450"/>
      <c r="K358" s="453"/>
      <c r="L358" s="82"/>
      <c r="M358" s="82"/>
      <c r="N358" s="82"/>
      <c r="O358" s="82"/>
      <c r="P358" s="82"/>
    </row>
    <row r="359" spans="1:26" ht="19.5" customHeight="1" x14ac:dyDescent="0.2">
      <c r="A359" s="465" t="s">
        <v>28</v>
      </c>
      <c r="B359" s="125" t="s">
        <v>17</v>
      </c>
      <c r="C359" s="138" t="s">
        <v>87</v>
      </c>
      <c r="D359" s="127">
        <v>0.70833333333333337</v>
      </c>
      <c r="E359" s="336">
        <v>0.83333333333333337</v>
      </c>
      <c r="F359" s="329" t="s">
        <v>400</v>
      </c>
      <c r="G359" s="434"/>
      <c r="H359" s="716">
        <v>15</v>
      </c>
      <c r="I359" s="497">
        <v>30</v>
      </c>
      <c r="J359" s="451">
        <f>SUM(H359:I359)</f>
        <v>45</v>
      </c>
      <c r="K359" s="452"/>
      <c r="L359" s="706" t="s">
        <v>432</v>
      </c>
      <c r="M359" s="706"/>
      <c r="N359" s="82"/>
      <c r="O359" s="82"/>
      <c r="P359" s="82"/>
    </row>
    <row r="360" spans="1:26" ht="19.5" customHeight="1" x14ac:dyDescent="0.2">
      <c r="A360" s="444"/>
      <c r="B360" s="125" t="s">
        <v>37</v>
      </c>
      <c r="C360" s="138" t="s">
        <v>87</v>
      </c>
      <c r="D360" s="345">
        <v>0.83333333333333337</v>
      </c>
      <c r="E360" s="336">
        <v>0.91666666666666663</v>
      </c>
      <c r="F360" s="329" t="s">
        <v>400</v>
      </c>
      <c r="G360" s="275"/>
      <c r="H360" s="665"/>
      <c r="I360" s="444"/>
      <c r="J360" s="450"/>
      <c r="K360" s="453"/>
      <c r="L360" s="82"/>
      <c r="M360" s="82"/>
      <c r="N360" s="82"/>
      <c r="O360" s="82"/>
      <c r="P360" s="82"/>
    </row>
    <row r="361" spans="1:26" s="353" customFormat="1" ht="19.5" customHeight="1" x14ac:dyDescent="0.2">
      <c r="A361" s="384"/>
      <c r="B361" s="402"/>
      <c r="C361" s="403"/>
      <c r="D361" s="412"/>
      <c r="E361" s="413"/>
      <c r="F361" s="329"/>
      <c r="G361" s="410"/>
      <c r="H361" s="384"/>
      <c r="I361" s="384"/>
      <c r="J361" s="384">
        <v>90</v>
      </c>
      <c r="K361" s="390"/>
      <c r="L361" s="82"/>
      <c r="M361" s="82"/>
      <c r="N361" s="82"/>
      <c r="O361" s="82"/>
      <c r="P361" s="82"/>
    </row>
    <row r="362" spans="1:26" ht="19.5" customHeight="1" x14ac:dyDescent="0.2">
      <c r="A362" s="82"/>
      <c r="B362" s="82"/>
      <c r="C362" s="82"/>
      <c r="D362" s="82"/>
      <c r="E362" s="82"/>
      <c r="F362" s="316"/>
      <c r="G362" s="276"/>
      <c r="H362" s="82"/>
      <c r="I362" s="82"/>
      <c r="J362" s="117"/>
      <c r="K362" s="117"/>
      <c r="L362" s="82"/>
      <c r="M362" s="82"/>
      <c r="N362" s="82"/>
      <c r="O362" s="82"/>
      <c r="P362" s="82"/>
    </row>
    <row r="363" spans="1:26" ht="19.5" customHeight="1" x14ac:dyDescent="0.2">
      <c r="A363" s="131" t="s">
        <v>6</v>
      </c>
      <c r="B363" s="121">
        <v>2018</v>
      </c>
      <c r="C363" s="131" t="s">
        <v>7</v>
      </c>
      <c r="D363" s="122"/>
      <c r="E363" s="131" t="s">
        <v>9</v>
      </c>
      <c r="F363" s="123" t="s">
        <v>191</v>
      </c>
      <c r="G363" s="120" t="s">
        <v>11</v>
      </c>
      <c r="H363" s="121">
        <v>4</v>
      </c>
      <c r="I363" s="131" t="s">
        <v>12</v>
      </c>
      <c r="J363" s="121"/>
      <c r="K363" s="294"/>
      <c r="L363" s="200"/>
      <c r="M363" s="82"/>
      <c r="N363" s="82"/>
      <c r="O363" s="82"/>
      <c r="P363" s="82"/>
    </row>
    <row r="364" spans="1:26" ht="19.5" customHeight="1" x14ac:dyDescent="0.2">
      <c r="A364" s="131" t="s">
        <v>6</v>
      </c>
      <c r="B364" s="121">
        <v>2023</v>
      </c>
      <c r="C364" s="131" t="s">
        <v>7</v>
      </c>
      <c r="D364" s="122"/>
      <c r="E364" s="131" t="s">
        <v>9</v>
      </c>
      <c r="F364" s="123" t="s">
        <v>191</v>
      </c>
      <c r="G364" s="120" t="s">
        <v>11</v>
      </c>
      <c r="H364" s="121">
        <v>4</v>
      </c>
      <c r="I364" s="131" t="s">
        <v>12</v>
      </c>
      <c r="J364" s="121"/>
      <c r="K364" s="294"/>
      <c r="L364" s="200"/>
      <c r="M364" s="82"/>
      <c r="N364" s="82"/>
      <c r="O364" s="82"/>
      <c r="P364" s="82"/>
    </row>
    <row r="365" spans="1:26" ht="19.5" customHeight="1" x14ac:dyDescent="0.2">
      <c r="A365" s="92" t="s">
        <v>16</v>
      </c>
      <c r="B365" s="93" t="s">
        <v>17</v>
      </c>
      <c r="C365" s="93" t="s">
        <v>18</v>
      </c>
      <c r="D365" s="454" t="s">
        <v>19</v>
      </c>
      <c r="E365" s="455"/>
      <c r="F365" s="94" t="s">
        <v>20</v>
      </c>
      <c r="G365" s="160"/>
      <c r="H365" s="668" t="s">
        <v>21</v>
      </c>
      <c r="I365" s="93" t="s">
        <v>22</v>
      </c>
      <c r="J365" s="94" t="s">
        <v>23</v>
      </c>
      <c r="K365" s="117"/>
      <c r="L365" s="82"/>
      <c r="M365" s="82"/>
      <c r="N365" s="82"/>
      <c r="O365" s="82"/>
      <c r="P365" s="82"/>
    </row>
    <row r="366" spans="1:26" ht="19.5" customHeight="1" x14ac:dyDescent="0.2">
      <c r="A366" s="465" t="s">
        <v>24</v>
      </c>
      <c r="B366" s="125" t="s">
        <v>17</v>
      </c>
      <c r="C366" s="138" t="s">
        <v>44</v>
      </c>
      <c r="D366" s="127">
        <v>0.54166666666666663</v>
      </c>
      <c r="E366" s="127">
        <v>0.66666666666666663</v>
      </c>
      <c r="F366" s="317" t="s">
        <v>70</v>
      </c>
      <c r="G366" s="275"/>
      <c r="H366" s="716">
        <v>5</v>
      </c>
      <c r="I366" s="497">
        <v>30</v>
      </c>
      <c r="J366" s="451">
        <f>SUM(H366:I366)</f>
        <v>35</v>
      </c>
      <c r="K366" s="452"/>
      <c r="L366" s="706" t="s">
        <v>425</v>
      </c>
      <c r="M366" s="706"/>
      <c r="N366" s="130"/>
      <c r="O366" s="82"/>
      <c r="P366" s="82"/>
    </row>
    <row r="367" spans="1:26" ht="19.5" customHeight="1" x14ac:dyDescent="0.2">
      <c r="A367" s="444"/>
      <c r="B367" s="125" t="s">
        <v>37</v>
      </c>
      <c r="C367" s="138" t="s">
        <v>44</v>
      </c>
      <c r="D367" s="127">
        <v>0.66666666666666663</v>
      </c>
      <c r="E367" s="127">
        <v>0.75</v>
      </c>
      <c r="F367" s="317" t="s">
        <v>70</v>
      </c>
      <c r="G367" s="275"/>
      <c r="H367" s="665"/>
      <c r="I367" s="444"/>
      <c r="J367" s="450"/>
      <c r="K367" s="453"/>
      <c r="L367" s="82"/>
      <c r="M367" s="82"/>
      <c r="N367" s="110"/>
      <c r="O367" s="82"/>
      <c r="P367" s="82"/>
    </row>
    <row r="368" spans="1:26" ht="19.5" customHeight="1" x14ac:dyDescent="0.2">
      <c r="A368" s="465" t="s">
        <v>27</v>
      </c>
      <c r="B368" s="125" t="s">
        <v>17</v>
      </c>
      <c r="C368" s="138" t="s">
        <v>25</v>
      </c>
      <c r="D368" s="127">
        <v>0.54166666666666663</v>
      </c>
      <c r="E368" s="127">
        <v>0.66666666666666663</v>
      </c>
      <c r="F368" s="329" t="s">
        <v>390</v>
      </c>
      <c r="G368" s="275"/>
      <c r="H368" s="556"/>
      <c r="I368" s="497">
        <v>30</v>
      </c>
      <c r="J368" s="451">
        <f>SUM(H368:I368)</f>
        <v>30</v>
      </c>
      <c r="K368" s="452"/>
      <c r="L368" s="82"/>
      <c r="M368" s="82"/>
      <c r="N368" s="82"/>
      <c r="O368" s="82"/>
      <c r="P368" s="82"/>
    </row>
    <row r="369" spans="1:17" ht="19.5" customHeight="1" x14ac:dyDescent="0.2">
      <c r="A369" s="444"/>
      <c r="B369" s="125" t="s">
        <v>37</v>
      </c>
      <c r="C369" s="138" t="s">
        <v>25</v>
      </c>
      <c r="D369" s="127">
        <v>0.66666666666666663</v>
      </c>
      <c r="E369" s="127">
        <v>0.75</v>
      </c>
      <c r="F369" s="329" t="s">
        <v>390</v>
      </c>
      <c r="G369" s="275"/>
      <c r="H369" s="450"/>
      <c r="I369" s="444"/>
      <c r="J369" s="450"/>
      <c r="K369" s="453"/>
      <c r="L369" s="82"/>
      <c r="M369" s="82"/>
      <c r="N369" s="82"/>
      <c r="O369" s="82"/>
      <c r="P369" s="82"/>
    </row>
    <row r="370" spans="1:17" ht="19.5" customHeight="1" x14ac:dyDescent="0.2">
      <c r="A370" s="465" t="s">
        <v>28</v>
      </c>
      <c r="B370" s="125" t="s">
        <v>17</v>
      </c>
      <c r="C370" s="138" t="s">
        <v>25</v>
      </c>
      <c r="D370" s="127">
        <v>0.54166666666666663</v>
      </c>
      <c r="E370" s="127">
        <v>0.66666666666666663</v>
      </c>
      <c r="F370" s="334" t="s">
        <v>404</v>
      </c>
      <c r="G370" s="333"/>
      <c r="H370" s="556"/>
      <c r="I370" s="497">
        <v>30</v>
      </c>
      <c r="J370" s="451">
        <f>SUM(H370:I370)</f>
        <v>30</v>
      </c>
      <c r="K370" s="452"/>
      <c r="L370" s="82"/>
      <c r="M370" s="82"/>
      <c r="N370" s="82"/>
      <c r="O370" s="82"/>
      <c r="P370" s="82"/>
    </row>
    <row r="371" spans="1:17" ht="19.5" customHeight="1" x14ac:dyDescent="0.2">
      <c r="A371" s="444"/>
      <c r="B371" s="125" t="s">
        <v>37</v>
      </c>
      <c r="C371" s="138" t="s">
        <v>25</v>
      </c>
      <c r="D371" s="127">
        <v>0.66666666666666663</v>
      </c>
      <c r="E371" s="127">
        <v>0.75</v>
      </c>
      <c r="F371" s="334" t="s">
        <v>404</v>
      </c>
      <c r="G371" s="275"/>
      <c r="H371" s="450"/>
      <c r="I371" s="444"/>
      <c r="J371" s="450"/>
      <c r="K371" s="453"/>
      <c r="L371" s="82"/>
      <c r="M371" s="82"/>
      <c r="N371" s="82"/>
      <c r="O371" s="82"/>
      <c r="P371" s="82"/>
    </row>
    <row r="372" spans="1:17" s="353" customFormat="1" ht="19.5" customHeight="1" x14ac:dyDescent="0.2">
      <c r="A372" s="384"/>
      <c r="B372" s="402"/>
      <c r="C372" s="403"/>
      <c r="D372" s="404"/>
      <c r="E372" s="404"/>
      <c r="F372" s="411"/>
      <c r="G372" s="410"/>
      <c r="H372" s="384"/>
      <c r="I372" s="384"/>
      <c r="J372" s="384">
        <v>90</v>
      </c>
      <c r="K372" s="390"/>
      <c r="L372" s="82"/>
      <c r="M372" s="82"/>
      <c r="N372" s="82"/>
      <c r="O372" s="82"/>
      <c r="P372" s="82"/>
    </row>
    <row r="373" spans="1:17" ht="19.5" customHeight="1" x14ac:dyDescent="0.2">
      <c r="A373" s="82"/>
      <c r="B373" s="82"/>
      <c r="C373" s="82"/>
      <c r="D373" s="82"/>
      <c r="E373" s="82"/>
      <c r="F373" s="316"/>
      <c r="G373" s="276"/>
      <c r="H373" s="82"/>
      <c r="I373" s="82"/>
      <c r="J373" s="117"/>
      <c r="K373" s="117"/>
      <c r="L373" s="82"/>
      <c r="M373" s="82"/>
      <c r="N373" s="82"/>
      <c r="O373" s="82"/>
      <c r="P373" s="82"/>
    </row>
    <row r="374" spans="1:17" ht="19.5" customHeight="1" x14ac:dyDescent="0.2">
      <c r="A374" s="131" t="s">
        <v>6</v>
      </c>
      <c r="B374" s="121">
        <v>2018</v>
      </c>
      <c r="C374" s="131" t="s">
        <v>7</v>
      </c>
      <c r="D374" s="122" t="s">
        <v>192</v>
      </c>
      <c r="E374" s="131" t="s">
        <v>9</v>
      </c>
      <c r="F374" s="123" t="s">
        <v>193</v>
      </c>
      <c r="G374" s="120" t="s">
        <v>11</v>
      </c>
      <c r="H374" s="121">
        <v>3</v>
      </c>
      <c r="I374" s="131" t="s">
        <v>12</v>
      </c>
      <c r="J374" s="121" t="s">
        <v>194</v>
      </c>
      <c r="K374" s="117"/>
      <c r="L374" s="82"/>
      <c r="M374" s="82"/>
      <c r="N374" s="82"/>
      <c r="O374" s="82"/>
      <c r="P374" s="82"/>
    </row>
    <row r="375" spans="1:17" ht="19.5" customHeight="1" x14ac:dyDescent="0.2">
      <c r="A375" s="202" t="s">
        <v>6</v>
      </c>
      <c r="B375" s="203">
        <v>2023</v>
      </c>
      <c r="C375" s="203" t="s">
        <v>157</v>
      </c>
      <c r="D375" s="203" t="s">
        <v>195</v>
      </c>
      <c r="E375" s="203" t="s">
        <v>9</v>
      </c>
      <c r="F375" s="123" t="s">
        <v>193</v>
      </c>
      <c r="G375" s="120" t="s">
        <v>11</v>
      </c>
      <c r="H375" s="121">
        <v>3</v>
      </c>
      <c r="I375" s="131" t="s">
        <v>12</v>
      </c>
      <c r="J375" s="204" t="s">
        <v>183</v>
      </c>
      <c r="K375" s="117"/>
      <c r="L375" s="82"/>
      <c r="M375" s="82"/>
      <c r="N375" s="82"/>
      <c r="O375" s="82"/>
      <c r="P375" s="82"/>
    </row>
    <row r="376" spans="1:17" ht="19.5" customHeight="1" x14ac:dyDescent="0.2">
      <c r="A376" s="92" t="s">
        <v>16</v>
      </c>
      <c r="B376" s="93" t="s">
        <v>17</v>
      </c>
      <c r="C376" s="93" t="s">
        <v>18</v>
      </c>
      <c r="D376" s="454" t="s">
        <v>19</v>
      </c>
      <c r="E376" s="455"/>
      <c r="F376" s="94" t="s">
        <v>20</v>
      </c>
      <c r="G376" s="94"/>
      <c r="H376" s="668" t="s">
        <v>21</v>
      </c>
      <c r="I376" s="93" t="s">
        <v>22</v>
      </c>
      <c r="J376" s="94" t="s">
        <v>23</v>
      </c>
      <c r="K376" s="117"/>
      <c r="L376" s="82"/>
      <c r="M376" s="82"/>
      <c r="N376" s="82"/>
      <c r="O376" s="82"/>
      <c r="P376" s="82"/>
    </row>
    <row r="377" spans="1:17" ht="19.5" customHeight="1" x14ac:dyDescent="0.2">
      <c r="A377" s="465" t="s">
        <v>24</v>
      </c>
      <c r="B377" s="67" t="s">
        <v>17</v>
      </c>
      <c r="C377" s="138" t="s">
        <v>48</v>
      </c>
      <c r="D377" s="127">
        <v>0.75</v>
      </c>
      <c r="E377" s="127">
        <v>0.83333333333333337</v>
      </c>
      <c r="F377" s="309" t="s">
        <v>399</v>
      </c>
      <c r="G377" s="129"/>
      <c r="H377" s="661">
        <v>5</v>
      </c>
      <c r="I377" s="440">
        <v>30</v>
      </c>
      <c r="J377" s="451">
        <f>SUM(H377:I377)</f>
        <v>35</v>
      </c>
      <c r="K377" s="452"/>
      <c r="L377" s="82" t="s">
        <v>413</v>
      </c>
      <c r="M377" s="82"/>
      <c r="N377" s="82"/>
      <c r="O377" s="82"/>
      <c r="P377" s="205"/>
      <c r="Q377" s="206"/>
    </row>
    <row r="378" spans="1:17" ht="19.5" customHeight="1" x14ac:dyDescent="0.2">
      <c r="A378" s="444"/>
      <c r="B378" s="67" t="s">
        <v>37</v>
      </c>
      <c r="C378" s="138" t="s">
        <v>48</v>
      </c>
      <c r="D378" s="127">
        <v>0.83333333333333337</v>
      </c>
      <c r="E378" s="127">
        <v>0.91666666666666663</v>
      </c>
      <c r="F378" s="309" t="s">
        <v>399</v>
      </c>
      <c r="G378" s="129"/>
      <c r="H378" s="665"/>
      <c r="I378" s="450"/>
      <c r="J378" s="450"/>
      <c r="K378" s="453"/>
      <c r="L378" s="82"/>
      <c r="M378" s="82"/>
      <c r="N378" s="82"/>
      <c r="O378" s="82"/>
      <c r="P378" s="82"/>
    </row>
    <row r="379" spans="1:17" ht="19.5" customHeight="1" x14ac:dyDescent="0.2">
      <c r="A379" s="465" t="s">
        <v>27</v>
      </c>
      <c r="B379" s="67" t="s">
        <v>17</v>
      </c>
      <c r="C379" s="138" t="s">
        <v>48</v>
      </c>
      <c r="D379" s="127">
        <v>0.58333333333333337</v>
      </c>
      <c r="E379" s="127">
        <v>0.66666666666666663</v>
      </c>
      <c r="F379" s="264"/>
      <c r="G379" s="340"/>
      <c r="H379" s="449"/>
      <c r="I379" s="440">
        <v>30</v>
      </c>
      <c r="J379" s="451">
        <f>SUM(H379:I379)</f>
        <v>30</v>
      </c>
      <c r="K379" s="452"/>
      <c r="L379" s="82"/>
      <c r="M379" s="82"/>
      <c r="N379" s="82"/>
      <c r="O379" s="82"/>
      <c r="P379" s="82"/>
    </row>
    <row r="380" spans="1:17" ht="19.5" customHeight="1" x14ac:dyDescent="0.2">
      <c r="A380" s="444"/>
      <c r="B380" s="67" t="s">
        <v>37</v>
      </c>
      <c r="C380" s="138" t="s">
        <v>48</v>
      </c>
      <c r="D380" s="127">
        <v>0.66666666666666663</v>
      </c>
      <c r="E380" s="127">
        <v>0.75</v>
      </c>
      <c r="F380" s="360"/>
      <c r="G380" s="340"/>
      <c r="H380" s="450"/>
      <c r="I380" s="450"/>
      <c r="J380" s="450"/>
      <c r="K380" s="453"/>
      <c r="L380" s="82"/>
      <c r="M380" s="82"/>
      <c r="N380" s="82"/>
      <c r="O380" s="82"/>
      <c r="P380" s="82"/>
    </row>
    <row r="381" spans="1:17" s="353" customFormat="1" ht="19.5" customHeight="1" x14ac:dyDescent="0.2">
      <c r="A381" s="384"/>
      <c r="B381" s="407"/>
      <c r="C381" s="403"/>
      <c r="D381" s="404"/>
      <c r="E381" s="404"/>
      <c r="F381" s="408"/>
      <c r="G381" s="409"/>
      <c r="H381" s="384"/>
      <c r="I381" s="384"/>
      <c r="J381" s="384">
        <v>30</v>
      </c>
      <c r="K381" s="390"/>
      <c r="L381" s="82"/>
      <c r="M381" s="82"/>
      <c r="N381" s="82"/>
      <c r="O381" s="82"/>
      <c r="P381" s="82"/>
    </row>
    <row r="382" spans="1:17" ht="19.5" customHeight="1" x14ac:dyDescent="0.2">
      <c r="A382" s="82"/>
      <c r="B382" s="82"/>
      <c r="C382" s="82"/>
      <c r="D382" s="82"/>
      <c r="E382" s="82"/>
      <c r="F382" s="117"/>
      <c r="G382" s="117"/>
      <c r="H382" s="82"/>
      <c r="I382" s="82"/>
      <c r="J382" s="117"/>
      <c r="K382" s="117"/>
      <c r="L382" s="82"/>
      <c r="M382" s="82"/>
      <c r="N382" s="82"/>
      <c r="O382" s="82"/>
      <c r="P382" s="82"/>
    </row>
    <row r="383" spans="1:17" ht="19.5" customHeight="1" x14ac:dyDescent="0.2">
      <c r="A383" s="131" t="s">
        <v>6</v>
      </c>
      <c r="B383" s="121">
        <v>2018</v>
      </c>
      <c r="C383" s="131" t="s">
        <v>7</v>
      </c>
      <c r="D383" s="122"/>
      <c r="E383" s="131" t="s">
        <v>9</v>
      </c>
      <c r="F383" s="123" t="s">
        <v>196</v>
      </c>
      <c r="G383" s="120" t="s">
        <v>11</v>
      </c>
      <c r="H383" s="121">
        <v>3</v>
      </c>
      <c r="I383" s="131" t="s">
        <v>12</v>
      </c>
      <c r="J383" s="121"/>
      <c r="K383" s="294"/>
      <c r="L383" s="200"/>
      <c r="M383" s="82"/>
      <c r="N383" s="82"/>
      <c r="O383" s="82"/>
      <c r="P383" s="82"/>
    </row>
    <row r="384" spans="1:17" ht="19.5" customHeight="1" x14ac:dyDescent="0.2">
      <c r="A384" s="131" t="s">
        <v>6</v>
      </c>
      <c r="B384" s="121">
        <v>2023</v>
      </c>
      <c r="C384" s="131" t="s">
        <v>7</v>
      </c>
      <c r="D384" s="122"/>
      <c r="E384" s="131" t="s">
        <v>9</v>
      </c>
      <c r="F384" s="123" t="s">
        <v>196</v>
      </c>
      <c r="G384" s="120" t="s">
        <v>11</v>
      </c>
      <c r="H384" s="121">
        <v>3</v>
      </c>
      <c r="I384" s="131" t="s">
        <v>12</v>
      </c>
      <c r="J384" s="121"/>
      <c r="K384" s="294"/>
      <c r="L384" s="200"/>
      <c r="M384" s="82"/>
      <c r="N384" s="82"/>
      <c r="O384" s="82"/>
      <c r="P384" s="82"/>
    </row>
    <row r="385" spans="1:16" ht="19.5" customHeight="1" x14ac:dyDescent="0.2">
      <c r="A385" s="92" t="s">
        <v>16</v>
      </c>
      <c r="B385" s="93" t="s">
        <v>17</v>
      </c>
      <c r="C385" s="93" t="s">
        <v>18</v>
      </c>
      <c r="D385" s="454" t="s">
        <v>19</v>
      </c>
      <c r="E385" s="455"/>
      <c r="F385" s="94" t="s">
        <v>20</v>
      </c>
      <c r="G385" s="160"/>
      <c r="H385" s="668" t="s">
        <v>21</v>
      </c>
      <c r="I385" s="93" t="s">
        <v>22</v>
      </c>
      <c r="J385" s="94" t="s">
        <v>23</v>
      </c>
      <c r="K385" s="117"/>
      <c r="L385" s="82"/>
      <c r="M385" s="82"/>
      <c r="N385" s="82"/>
      <c r="O385" s="82"/>
      <c r="P385" s="82"/>
    </row>
    <row r="386" spans="1:16" ht="19.5" customHeight="1" x14ac:dyDescent="0.2">
      <c r="A386" s="465" t="s">
        <v>24</v>
      </c>
      <c r="B386" s="125" t="s">
        <v>17</v>
      </c>
      <c r="C386" s="138" t="s">
        <v>44</v>
      </c>
      <c r="D386" s="127">
        <v>0.75</v>
      </c>
      <c r="E386" s="127">
        <v>0.83333333333333337</v>
      </c>
      <c r="F386" s="317" t="s">
        <v>159</v>
      </c>
      <c r="G386" s="275"/>
      <c r="H386" s="716">
        <v>5</v>
      </c>
      <c r="I386" s="497">
        <v>30</v>
      </c>
      <c r="J386" s="451">
        <f>SUM(H386:I386)</f>
        <v>35</v>
      </c>
      <c r="K386" s="452"/>
      <c r="L386" s="694" t="s">
        <v>413</v>
      </c>
      <c r="M386" s="694"/>
      <c r="N386" s="82"/>
      <c r="O386" s="82"/>
      <c r="P386" s="82"/>
    </row>
    <row r="387" spans="1:16" ht="19.5" customHeight="1" x14ac:dyDescent="0.2">
      <c r="A387" s="444"/>
      <c r="B387" s="125" t="s">
        <v>37</v>
      </c>
      <c r="C387" s="138" t="s">
        <v>44</v>
      </c>
      <c r="D387" s="127">
        <v>0.83333333333333337</v>
      </c>
      <c r="E387" s="127">
        <v>0.91666666666666663</v>
      </c>
      <c r="F387" s="317" t="s">
        <v>159</v>
      </c>
      <c r="G387" s="275"/>
      <c r="H387" s="665"/>
      <c r="I387" s="444"/>
      <c r="J387" s="450"/>
      <c r="K387" s="453"/>
      <c r="L387" s="82"/>
      <c r="M387" s="82"/>
      <c r="N387" s="82"/>
      <c r="O387" s="82"/>
      <c r="P387" s="82"/>
    </row>
    <row r="388" spans="1:16" ht="19.5" customHeight="1" x14ac:dyDescent="0.2">
      <c r="A388" s="465" t="s">
        <v>27</v>
      </c>
      <c r="B388" s="125" t="s">
        <v>17</v>
      </c>
      <c r="C388" s="374" t="s">
        <v>32</v>
      </c>
      <c r="D388" s="375">
        <v>0.58333333333333337</v>
      </c>
      <c r="E388" s="375">
        <v>0.66666666666666663</v>
      </c>
      <c r="F388" s="317" t="s">
        <v>86</v>
      </c>
      <c r="G388" s="275"/>
      <c r="H388" s="556"/>
      <c r="I388" s="497">
        <v>30</v>
      </c>
      <c r="J388" s="451">
        <f>SUM(H388:I388)</f>
        <v>30</v>
      </c>
      <c r="K388" s="452"/>
      <c r="L388" s="207"/>
      <c r="M388" s="207"/>
      <c r="N388" s="207"/>
      <c r="O388" s="82"/>
      <c r="P388" s="82"/>
    </row>
    <row r="389" spans="1:16" ht="19.5" customHeight="1" x14ac:dyDescent="0.2">
      <c r="A389" s="444"/>
      <c r="B389" s="125" t="s">
        <v>37</v>
      </c>
      <c r="C389" s="374" t="s">
        <v>32</v>
      </c>
      <c r="D389" s="375">
        <v>0.66666666666666663</v>
      </c>
      <c r="E389" s="375">
        <v>0.75</v>
      </c>
      <c r="F389" s="317" t="s">
        <v>86</v>
      </c>
      <c r="G389" s="275"/>
      <c r="H389" s="450"/>
      <c r="I389" s="444"/>
      <c r="J389" s="450"/>
      <c r="K389" s="453"/>
      <c r="L389" s="82"/>
      <c r="M389" s="82"/>
      <c r="N389" s="82"/>
      <c r="O389" s="82"/>
      <c r="P389" s="82"/>
    </row>
    <row r="390" spans="1:16" ht="19.5" customHeight="1" x14ac:dyDescent="0.2">
      <c r="A390" s="465" t="s">
        <v>28</v>
      </c>
      <c r="B390" s="125" t="s">
        <v>17</v>
      </c>
      <c r="C390" s="138" t="s">
        <v>44</v>
      </c>
      <c r="D390" s="127">
        <v>0.75</v>
      </c>
      <c r="E390" s="127">
        <v>0.83333333333333337</v>
      </c>
      <c r="F390" s="317" t="s">
        <v>197</v>
      </c>
      <c r="G390" s="275"/>
      <c r="H390" s="556"/>
      <c r="I390" s="497">
        <v>30</v>
      </c>
      <c r="J390" s="451">
        <f>SUM(H390:I390)</f>
        <v>30</v>
      </c>
      <c r="K390" s="452"/>
      <c r="L390" s="82"/>
      <c r="M390" s="82"/>
      <c r="N390" s="82"/>
      <c r="O390" s="82"/>
      <c r="P390" s="82"/>
    </row>
    <row r="391" spans="1:16" ht="19.5" customHeight="1" x14ac:dyDescent="0.2">
      <c r="A391" s="444"/>
      <c r="B391" s="125" t="s">
        <v>37</v>
      </c>
      <c r="C391" s="138" t="s">
        <v>44</v>
      </c>
      <c r="D391" s="127">
        <v>0.83333333333333337</v>
      </c>
      <c r="E391" s="127">
        <v>0.91666666666666663</v>
      </c>
      <c r="F391" s="317" t="s">
        <v>197</v>
      </c>
      <c r="G391" s="275"/>
      <c r="H391" s="450"/>
      <c r="I391" s="444"/>
      <c r="J391" s="450"/>
      <c r="K391" s="453"/>
      <c r="L391" s="82"/>
      <c r="M391" s="82"/>
      <c r="N391" s="82"/>
      <c r="O391" s="82"/>
      <c r="P391" s="82"/>
    </row>
    <row r="392" spans="1:16" ht="19.5" customHeight="1" x14ac:dyDescent="0.2">
      <c r="A392" s="82"/>
      <c r="B392" s="82"/>
      <c r="C392" s="82"/>
      <c r="D392" s="82"/>
      <c r="E392" s="82"/>
      <c r="F392" s="117"/>
      <c r="G392" s="117"/>
      <c r="H392" s="82"/>
      <c r="I392" s="82"/>
      <c r="J392" s="117">
        <v>90</v>
      </c>
      <c r="K392" s="117"/>
      <c r="L392" s="82"/>
      <c r="M392" s="82"/>
      <c r="N392" s="82"/>
      <c r="O392" s="82"/>
      <c r="P392" s="82"/>
    </row>
    <row r="393" spans="1:16" ht="19.5" customHeight="1" x14ac:dyDescent="0.2">
      <c r="A393" s="82"/>
      <c r="B393" s="82"/>
      <c r="C393" s="82"/>
      <c r="D393" s="82"/>
      <c r="E393" s="82"/>
      <c r="F393" s="117"/>
      <c r="G393" s="117"/>
      <c r="H393" s="82"/>
      <c r="I393" s="82"/>
      <c r="J393" s="117"/>
      <c r="K393" s="117"/>
      <c r="L393" s="82"/>
      <c r="M393" s="82"/>
      <c r="N393" s="82"/>
      <c r="O393" s="82"/>
      <c r="P393" s="82"/>
    </row>
    <row r="394" spans="1:16" ht="19.5" customHeight="1" x14ac:dyDescent="0.2">
      <c r="A394" s="131" t="s">
        <v>6</v>
      </c>
      <c r="B394" s="121">
        <v>2018</v>
      </c>
      <c r="C394" s="131" t="s">
        <v>7</v>
      </c>
      <c r="D394" s="122" t="s">
        <v>198</v>
      </c>
      <c r="E394" s="131" t="s">
        <v>9</v>
      </c>
      <c r="F394" s="123" t="s">
        <v>199</v>
      </c>
      <c r="G394" s="120" t="s">
        <v>11</v>
      </c>
      <c r="H394" s="121">
        <v>3</v>
      </c>
      <c r="I394" s="131" t="s">
        <v>12</v>
      </c>
      <c r="J394" s="121" t="s">
        <v>200</v>
      </c>
      <c r="K394" s="117"/>
      <c r="L394" s="82"/>
      <c r="M394" s="82"/>
      <c r="N394" s="82"/>
      <c r="O394" s="82"/>
      <c r="P394" s="82"/>
    </row>
    <row r="395" spans="1:16" ht="19.5" customHeight="1" x14ac:dyDescent="0.2">
      <c r="A395" s="131" t="s">
        <v>6</v>
      </c>
      <c r="B395" s="121">
        <v>2023</v>
      </c>
      <c r="C395" s="131" t="s">
        <v>7</v>
      </c>
      <c r="D395" s="122" t="s">
        <v>201</v>
      </c>
      <c r="E395" s="131" t="s">
        <v>9</v>
      </c>
      <c r="F395" s="123" t="s">
        <v>199</v>
      </c>
      <c r="G395" s="120" t="s">
        <v>11</v>
      </c>
      <c r="H395" s="121">
        <v>3</v>
      </c>
      <c r="I395" s="131" t="s">
        <v>12</v>
      </c>
      <c r="J395" s="121" t="s">
        <v>128</v>
      </c>
      <c r="K395" s="117"/>
      <c r="L395" s="82"/>
      <c r="M395" s="82"/>
      <c r="N395" s="82"/>
      <c r="O395" s="82"/>
      <c r="P395" s="82"/>
    </row>
    <row r="396" spans="1:16" ht="19.5" customHeight="1" x14ac:dyDescent="0.2">
      <c r="A396" s="92" t="s">
        <v>16</v>
      </c>
      <c r="B396" s="93" t="s">
        <v>17</v>
      </c>
      <c r="C396" s="93" t="s">
        <v>18</v>
      </c>
      <c r="D396" s="454" t="s">
        <v>19</v>
      </c>
      <c r="E396" s="455"/>
      <c r="F396" s="94" t="s">
        <v>20</v>
      </c>
      <c r="G396" s="94"/>
      <c r="H396" s="668" t="s">
        <v>21</v>
      </c>
      <c r="I396" s="93" t="s">
        <v>22</v>
      </c>
      <c r="J396" s="94" t="s">
        <v>23</v>
      </c>
      <c r="K396" s="117"/>
      <c r="L396" s="82"/>
      <c r="M396" s="82"/>
      <c r="N396" s="82"/>
      <c r="O396" s="82"/>
      <c r="P396" s="82"/>
    </row>
    <row r="397" spans="1:16" ht="19.5" customHeight="1" x14ac:dyDescent="0.2">
      <c r="A397" s="465" t="s">
        <v>24</v>
      </c>
      <c r="B397" s="125" t="s">
        <v>17</v>
      </c>
      <c r="C397" s="141" t="s">
        <v>48</v>
      </c>
      <c r="D397" s="127">
        <v>0.58333333333333337</v>
      </c>
      <c r="E397" s="127">
        <v>0.66666666666666663</v>
      </c>
      <c r="F397" s="300" t="s">
        <v>202</v>
      </c>
      <c r="G397" s="129"/>
      <c r="H397" s="717">
        <v>5</v>
      </c>
      <c r="I397" s="440">
        <v>30</v>
      </c>
      <c r="J397" s="451">
        <f>SUM(H397:I397)</f>
        <v>35</v>
      </c>
      <c r="K397" s="452"/>
      <c r="L397" s="718" t="s">
        <v>413</v>
      </c>
      <c r="M397" s="694"/>
      <c r="N397" s="82"/>
      <c r="O397" s="82"/>
      <c r="P397" s="82"/>
    </row>
    <row r="398" spans="1:16" ht="19.5" customHeight="1" x14ac:dyDescent="0.2">
      <c r="A398" s="444"/>
      <c r="B398" s="125" t="s">
        <v>37</v>
      </c>
      <c r="C398" s="141" t="s">
        <v>48</v>
      </c>
      <c r="D398" s="127">
        <v>0.66666666666666663</v>
      </c>
      <c r="E398" s="127">
        <v>0.75</v>
      </c>
      <c r="F398" s="300" t="s">
        <v>202</v>
      </c>
      <c r="G398" s="129"/>
      <c r="H398" s="664"/>
      <c r="I398" s="450"/>
      <c r="J398" s="450"/>
      <c r="K398" s="453"/>
      <c r="L398" s="82"/>
      <c r="M398" s="82"/>
      <c r="N398" s="82"/>
      <c r="O398" s="82"/>
      <c r="P398" s="82"/>
    </row>
    <row r="399" spans="1:16" ht="19.5" customHeight="1" x14ac:dyDescent="0.2">
      <c r="A399" s="465" t="s">
        <v>27</v>
      </c>
      <c r="B399" s="125" t="s">
        <v>17</v>
      </c>
      <c r="C399" s="364" t="s">
        <v>36</v>
      </c>
      <c r="D399" s="127">
        <v>0.58333333333333337</v>
      </c>
      <c r="E399" s="127">
        <v>0.66666666666666663</v>
      </c>
      <c r="F399" s="300" t="s">
        <v>203</v>
      </c>
      <c r="G399" s="129"/>
      <c r="H399" s="479"/>
      <c r="I399" s="440">
        <v>30</v>
      </c>
      <c r="J399" s="451">
        <f>SUM(H399:I399)</f>
        <v>30</v>
      </c>
      <c r="K399" s="452"/>
      <c r="L399" s="130"/>
      <c r="M399" s="82"/>
      <c r="N399" s="82"/>
      <c r="O399" s="82"/>
      <c r="P399" s="82"/>
    </row>
    <row r="400" spans="1:16" ht="19.5" customHeight="1" x14ac:dyDescent="0.2">
      <c r="A400" s="444"/>
      <c r="B400" s="125" t="s">
        <v>37</v>
      </c>
      <c r="C400" s="364" t="s">
        <v>36</v>
      </c>
      <c r="D400" s="127">
        <v>0.66666666666666663</v>
      </c>
      <c r="E400" s="127">
        <v>0.75</v>
      </c>
      <c r="F400" s="300" t="s">
        <v>203</v>
      </c>
      <c r="G400" s="129"/>
      <c r="H400" s="444"/>
      <c r="I400" s="450"/>
      <c r="J400" s="450"/>
      <c r="K400" s="453"/>
      <c r="L400" s="82"/>
      <c r="M400" s="82"/>
      <c r="N400" s="82"/>
      <c r="O400" s="82"/>
      <c r="P400" s="82"/>
    </row>
    <row r="401" spans="1:16" ht="19.5" customHeight="1" x14ac:dyDescent="0.2">
      <c r="A401" s="465" t="s">
        <v>28</v>
      </c>
      <c r="B401" s="125" t="s">
        <v>17</v>
      </c>
      <c r="C401" s="126" t="s">
        <v>48</v>
      </c>
      <c r="D401" s="127">
        <v>0.75</v>
      </c>
      <c r="E401" s="127">
        <v>0.83333333333333337</v>
      </c>
      <c r="F401" s="305" t="s">
        <v>391</v>
      </c>
      <c r="G401" s="340"/>
      <c r="H401" s="479"/>
      <c r="I401" s="440">
        <v>30</v>
      </c>
      <c r="J401" s="451">
        <f>SUM(H401:I401)</f>
        <v>30</v>
      </c>
      <c r="K401" s="452"/>
      <c r="L401" s="82"/>
      <c r="M401" s="82"/>
      <c r="N401" s="82"/>
      <c r="O401" s="82"/>
      <c r="P401" s="82"/>
    </row>
    <row r="402" spans="1:16" ht="19.5" customHeight="1" x14ac:dyDescent="0.2">
      <c r="A402" s="444"/>
      <c r="B402" s="125" t="s">
        <v>37</v>
      </c>
      <c r="C402" s="126" t="s">
        <v>48</v>
      </c>
      <c r="D402" s="127">
        <v>0.83333333333333337</v>
      </c>
      <c r="E402" s="127">
        <v>0.91666666666666663</v>
      </c>
      <c r="F402" s="305" t="s">
        <v>391</v>
      </c>
      <c r="G402" s="340"/>
      <c r="H402" s="444"/>
      <c r="I402" s="450"/>
      <c r="J402" s="450"/>
      <c r="K402" s="453"/>
      <c r="L402" s="82"/>
      <c r="M402" s="82"/>
      <c r="N402" s="82"/>
      <c r="O402" s="82"/>
      <c r="P402" s="82"/>
    </row>
    <row r="403" spans="1:16" ht="19.5" customHeight="1" x14ac:dyDescent="0.2">
      <c r="A403" s="98"/>
      <c r="B403" s="80"/>
      <c r="C403" s="82"/>
      <c r="D403" s="208"/>
      <c r="E403" s="208"/>
      <c r="F403" s="302"/>
      <c r="G403" s="268"/>
      <c r="H403" s="98"/>
      <c r="I403" s="98"/>
      <c r="J403" s="98">
        <v>90</v>
      </c>
      <c r="K403" s="240"/>
      <c r="L403" s="82"/>
      <c r="M403" s="82"/>
      <c r="N403" s="82"/>
      <c r="O403" s="82"/>
      <c r="P403" s="82"/>
    </row>
    <row r="404" spans="1:16" ht="19.5" customHeight="1" x14ac:dyDescent="0.2">
      <c r="A404" s="82"/>
      <c r="B404" s="82"/>
      <c r="C404" s="82"/>
      <c r="D404" s="82"/>
      <c r="E404" s="82"/>
      <c r="F404" s="117"/>
      <c r="G404" s="117"/>
      <c r="H404" s="82"/>
      <c r="I404" s="82"/>
      <c r="J404" s="117"/>
      <c r="K404" s="117"/>
      <c r="L404" s="82"/>
      <c r="M404" s="82"/>
      <c r="N404" s="82"/>
      <c r="O404" s="82"/>
      <c r="P404" s="82"/>
    </row>
    <row r="405" spans="1:16" ht="19.5" customHeight="1" x14ac:dyDescent="0.2">
      <c r="A405" s="131" t="s">
        <v>6</v>
      </c>
      <c r="B405" s="121">
        <v>2018</v>
      </c>
      <c r="C405" s="131" t="s">
        <v>7</v>
      </c>
      <c r="D405" s="122" t="s">
        <v>204</v>
      </c>
      <c r="E405" s="131" t="s">
        <v>9</v>
      </c>
      <c r="F405" s="123" t="s">
        <v>205</v>
      </c>
      <c r="G405" s="120" t="s">
        <v>11</v>
      </c>
      <c r="H405" s="121">
        <v>3</v>
      </c>
      <c r="I405" s="131" t="s">
        <v>12</v>
      </c>
      <c r="J405" s="121" t="s">
        <v>206</v>
      </c>
      <c r="K405" s="294"/>
      <c r="L405" s="110"/>
      <c r="M405" s="82"/>
      <c r="N405" s="82"/>
      <c r="O405" s="82"/>
      <c r="P405" s="82"/>
    </row>
    <row r="406" spans="1:16" ht="19.5" customHeight="1" x14ac:dyDescent="0.2">
      <c r="A406" s="92" t="s">
        <v>16</v>
      </c>
      <c r="B406" s="93" t="s">
        <v>17</v>
      </c>
      <c r="C406" s="93" t="s">
        <v>18</v>
      </c>
      <c r="D406" s="454" t="s">
        <v>19</v>
      </c>
      <c r="E406" s="455"/>
      <c r="F406" s="94" t="s">
        <v>20</v>
      </c>
      <c r="G406" s="94"/>
      <c r="H406" s="668" t="s">
        <v>21</v>
      </c>
      <c r="I406" s="93" t="s">
        <v>22</v>
      </c>
      <c r="J406" s="94" t="s">
        <v>23</v>
      </c>
      <c r="K406" s="117"/>
      <c r="L406" s="82"/>
      <c r="M406" s="82"/>
      <c r="N406" s="82"/>
      <c r="O406" s="82"/>
      <c r="P406" s="82"/>
    </row>
    <row r="407" spans="1:16" ht="19.5" customHeight="1" x14ac:dyDescent="0.2">
      <c r="A407" s="465" t="s">
        <v>24</v>
      </c>
      <c r="B407" s="125" t="s">
        <v>17</v>
      </c>
      <c r="C407" s="138" t="s">
        <v>25</v>
      </c>
      <c r="D407" s="127">
        <v>0.75</v>
      </c>
      <c r="E407" s="127">
        <v>0.83333333333333337</v>
      </c>
      <c r="F407" s="300" t="s">
        <v>207</v>
      </c>
      <c r="G407" s="129"/>
      <c r="H407" s="661">
        <v>30</v>
      </c>
      <c r="I407" s="440"/>
      <c r="J407" s="451">
        <f>SUM(H407:I407)</f>
        <v>30</v>
      </c>
      <c r="K407" s="452"/>
      <c r="L407" s="706" t="s">
        <v>431</v>
      </c>
      <c r="M407" s="694"/>
      <c r="N407" s="694"/>
      <c r="O407" s="82"/>
      <c r="P407" s="82"/>
    </row>
    <row r="408" spans="1:16" ht="19.5" customHeight="1" x14ac:dyDescent="0.2">
      <c r="A408" s="444"/>
      <c r="B408" s="125" t="s">
        <v>37</v>
      </c>
      <c r="C408" s="138" t="s">
        <v>25</v>
      </c>
      <c r="D408" s="127">
        <v>0.83333333333333337</v>
      </c>
      <c r="E408" s="127">
        <v>0.91666666666666663</v>
      </c>
      <c r="F408" s="300" t="s">
        <v>207</v>
      </c>
      <c r="G408" s="129"/>
      <c r="H408" s="665"/>
      <c r="I408" s="450"/>
      <c r="J408" s="450"/>
      <c r="K408" s="453"/>
      <c r="L408" s="82"/>
      <c r="M408" s="82"/>
      <c r="N408" s="82"/>
      <c r="O408" s="82"/>
      <c r="P408" s="82"/>
    </row>
    <row r="409" spans="1:16" ht="19.5" customHeight="1" x14ac:dyDescent="0.2">
      <c r="A409" s="465" t="s">
        <v>27</v>
      </c>
      <c r="B409" s="125" t="s">
        <v>17</v>
      </c>
      <c r="C409" s="374" t="s">
        <v>25</v>
      </c>
      <c r="D409" s="127">
        <v>0.58333333333333337</v>
      </c>
      <c r="E409" s="127">
        <v>0.66666666666666663</v>
      </c>
      <c r="F409" s="305" t="s">
        <v>405</v>
      </c>
      <c r="G409" s="129"/>
      <c r="H409" s="661">
        <v>30</v>
      </c>
      <c r="I409" s="440"/>
      <c r="J409" s="451">
        <f>SUM(H409:I409)</f>
        <v>30</v>
      </c>
      <c r="K409" s="452"/>
      <c r="L409" s="110"/>
      <c r="M409" s="82"/>
      <c r="N409" s="82"/>
      <c r="O409" s="82"/>
      <c r="P409" s="82"/>
    </row>
    <row r="410" spans="1:16" ht="19.5" customHeight="1" x14ac:dyDescent="0.2">
      <c r="A410" s="444"/>
      <c r="B410" s="125" t="s">
        <v>37</v>
      </c>
      <c r="C410" s="374" t="s">
        <v>25</v>
      </c>
      <c r="D410" s="127">
        <v>0.66666666666666663</v>
      </c>
      <c r="E410" s="127">
        <v>0.75</v>
      </c>
      <c r="F410" s="305" t="s">
        <v>405</v>
      </c>
      <c r="G410" s="129"/>
      <c r="H410" s="665"/>
      <c r="I410" s="450"/>
      <c r="J410" s="450"/>
      <c r="K410" s="453"/>
      <c r="L410" s="82"/>
      <c r="M410" s="82"/>
      <c r="N410" s="82"/>
      <c r="O410" s="82"/>
      <c r="P410" s="82"/>
    </row>
    <row r="411" spans="1:16" ht="19.5" customHeight="1" x14ac:dyDescent="0.2">
      <c r="A411" s="465" t="s">
        <v>28</v>
      </c>
      <c r="B411" s="125" t="s">
        <v>17</v>
      </c>
      <c r="C411" s="138" t="s">
        <v>44</v>
      </c>
      <c r="D411" s="127">
        <v>0.58333333333333337</v>
      </c>
      <c r="E411" s="127">
        <v>0.66666666666666663</v>
      </c>
      <c r="F411" s="301"/>
      <c r="G411" s="129"/>
      <c r="H411" s="661">
        <v>30</v>
      </c>
      <c r="I411" s="440"/>
      <c r="J411" s="451">
        <f>SUM(H411:I411)</f>
        <v>30</v>
      </c>
      <c r="K411" s="452"/>
      <c r="L411" s="82"/>
      <c r="M411" s="82"/>
      <c r="N411" s="82"/>
      <c r="O411" s="82"/>
      <c r="P411" s="82"/>
    </row>
    <row r="412" spans="1:16" ht="19.5" customHeight="1" x14ac:dyDescent="0.2">
      <c r="A412" s="444"/>
      <c r="B412" s="125" t="s">
        <v>37</v>
      </c>
      <c r="C412" s="138" t="s">
        <v>44</v>
      </c>
      <c r="D412" s="127">
        <v>0.66666666666666663</v>
      </c>
      <c r="E412" s="127">
        <v>0.75</v>
      </c>
      <c r="F412" s="301"/>
      <c r="G412" s="129"/>
      <c r="H412" s="665"/>
      <c r="I412" s="450"/>
      <c r="J412" s="450"/>
      <c r="K412" s="453"/>
      <c r="L412" s="82"/>
      <c r="M412" s="82"/>
      <c r="N412" s="82"/>
      <c r="O412" s="82"/>
      <c r="P412" s="82"/>
    </row>
    <row r="413" spans="1:16" s="353" customFormat="1" ht="19.5" customHeight="1" x14ac:dyDescent="0.2">
      <c r="A413" s="384"/>
      <c r="B413" s="402"/>
      <c r="C413" s="403"/>
      <c r="D413" s="404"/>
      <c r="E413" s="404"/>
      <c r="F413" s="405"/>
      <c r="G413" s="406"/>
      <c r="H413" s="384"/>
      <c r="I413" s="384"/>
      <c r="J413" s="384">
        <v>90</v>
      </c>
      <c r="K413" s="390"/>
      <c r="L413" s="82"/>
      <c r="M413" s="82"/>
      <c r="N413" s="82"/>
      <c r="O413" s="82"/>
      <c r="P413" s="82"/>
    </row>
    <row r="414" spans="1:16" ht="19.5" customHeight="1" x14ac:dyDescent="0.2">
      <c r="A414" s="98"/>
      <c r="B414" s="80"/>
      <c r="C414" s="185"/>
      <c r="D414" s="209"/>
      <c r="E414" s="209"/>
      <c r="F414" s="302"/>
      <c r="G414" s="268"/>
      <c r="H414" s="98"/>
      <c r="I414" s="98"/>
      <c r="J414" s="98"/>
      <c r="K414" s="240"/>
      <c r="L414" s="82"/>
      <c r="M414" s="82"/>
      <c r="N414" s="82"/>
      <c r="O414" s="82"/>
      <c r="P414" s="82"/>
    </row>
    <row r="415" spans="1:16" ht="19.5" customHeight="1" x14ac:dyDescent="0.2">
      <c r="A415" s="131" t="s">
        <v>6</v>
      </c>
      <c r="B415" s="121">
        <v>2018</v>
      </c>
      <c r="C415" s="131" t="s">
        <v>7</v>
      </c>
      <c r="D415" s="122"/>
      <c r="E415" s="131" t="s">
        <v>9</v>
      </c>
      <c r="F415" s="123" t="s">
        <v>208</v>
      </c>
      <c r="G415" s="120" t="s">
        <v>11</v>
      </c>
      <c r="H415" s="121">
        <v>3</v>
      </c>
      <c r="I415" s="131" t="s">
        <v>12</v>
      </c>
      <c r="J415" s="121"/>
      <c r="K415" s="117"/>
      <c r="L415" s="82"/>
      <c r="M415" s="82"/>
      <c r="N415" s="82"/>
      <c r="O415" s="82"/>
      <c r="P415" s="82"/>
    </row>
    <row r="416" spans="1:16" ht="19.5" customHeight="1" x14ac:dyDescent="0.2">
      <c r="A416" s="202" t="s">
        <v>6</v>
      </c>
      <c r="B416" s="203">
        <v>2023</v>
      </c>
      <c r="C416" s="203" t="s">
        <v>157</v>
      </c>
      <c r="D416" s="203"/>
      <c r="E416" s="203" t="s">
        <v>9</v>
      </c>
      <c r="F416" s="123" t="s">
        <v>208</v>
      </c>
      <c r="G416" s="120" t="s">
        <v>11</v>
      </c>
      <c r="H416" s="121">
        <v>3</v>
      </c>
      <c r="I416" s="131" t="s">
        <v>12</v>
      </c>
      <c r="J416" s="204"/>
      <c r="K416" s="117"/>
      <c r="L416" s="82"/>
      <c r="M416" s="82"/>
      <c r="N416" s="82"/>
      <c r="O416" s="82"/>
      <c r="P416" s="82"/>
    </row>
    <row r="417" spans="1:16" ht="19.5" customHeight="1" x14ac:dyDescent="0.2">
      <c r="A417" s="92" t="s">
        <v>16</v>
      </c>
      <c r="B417" s="93" t="s">
        <v>17</v>
      </c>
      <c r="C417" s="93" t="s">
        <v>18</v>
      </c>
      <c r="D417" s="454" t="s">
        <v>19</v>
      </c>
      <c r="E417" s="455"/>
      <c r="F417" s="94" t="s">
        <v>20</v>
      </c>
      <c r="G417" s="94"/>
      <c r="H417" s="93" t="s">
        <v>21</v>
      </c>
      <c r="I417" s="93" t="s">
        <v>22</v>
      </c>
      <c r="J417" s="94" t="s">
        <v>23</v>
      </c>
      <c r="K417" s="117"/>
      <c r="L417" s="82"/>
      <c r="M417" s="82"/>
      <c r="N417" s="82"/>
      <c r="O417" s="82"/>
      <c r="P417" s="82"/>
    </row>
    <row r="418" spans="1:16" ht="19.5" customHeight="1" x14ac:dyDescent="0.2">
      <c r="A418" s="465" t="s">
        <v>24</v>
      </c>
      <c r="B418" s="67" t="s">
        <v>17</v>
      </c>
      <c r="C418" s="138" t="s">
        <v>32</v>
      </c>
      <c r="D418" s="127">
        <v>0.75</v>
      </c>
      <c r="E418" s="127">
        <v>0.83333333333333337</v>
      </c>
      <c r="F418" s="296" t="s">
        <v>209</v>
      </c>
      <c r="G418" s="129"/>
      <c r="H418" s="449"/>
      <c r="I418" s="440" t="s">
        <v>429</v>
      </c>
      <c r="J418" s="451">
        <f>SUM(H418:I418)</f>
        <v>0</v>
      </c>
      <c r="K418" s="452"/>
      <c r="L418" s="694" t="s">
        <v>422</v>
      </c>
      <c r="M418" s="694"/>
      <c r="N418" s="82"/>
      <c r="O418" s="82"/>
      <c r="P418" s="82"/>
    </row>
    <row r="419" spans="1:16" ht="19.5" customHeight="1" x14ac:dyDescent="0.2">
      <c r="A419" s="444"/>
      <c r="B419" s="67" t="s">
        <v>37</v>
      </c>
      <c r="C419" s="138" t="s">
        <v>32</v>
      </c>
      <c r="D419" s="127">
        <v>0.83333333333333337</v>
      </c>
      <c r="E419" s="127">
        <v>0.91666666666666663</v>
      </c>
      <c r="F419" s="296" t="s">
        <v>209</v>
      </c>
      <c r="G419" s="129"/>
      <c r="H419" s="450"/>
      <c r="I419" s="450"/>
      <c r="J419" s="450"/>
      <c r="K419" s="453"/>
      <c r="L419" s="82"/>
      <c r="M419" s="82"/>
      <c r="N419" s="82"/>
      <c r="O419" s="82"/>
      <c r="P419" s="82"/>
    </row>
    <row r="420" spans="1:16" ht="19.5" customHeight="1" x14ac:dyDescent="0.2">
      <c r="A420" s="465" t="s">
        <v>27</v>
      </c>
      <c r="B420" s="67" t="s">
        <v>17</v>
      </c>
      <c r="C420" s="374" t="s">
        <v>87</v>
      </c>
      <c r="D420" s="375">
        <v>0.33333333333333331</v>
      </c>
      <c r="E420" s="375">
        <v>0.41666666666666669</v>
      </c>
      <c r="F420" s="296" t="s">
        <v>209</v>
      </c>
      <c r="G420" s="129"/>
      <c r="H420" s="449"/>
      <c r="I420" s="440" t="s">
        <v>429</v>
      </c>
      <c r="J420" s="451">
        <f>SUM(H420:I420)</f>
        <v>0</v>
      </c>
      <c r="K420" s="452"/>
      <c r="L420" s="130"/>
      <c r="M420" s="130"/>
      <c r="N420" s="130"/>
      <c r="O420" s="82"/>
      <c r="P420" s="82"/>
    </row>
    <row r="421" spans="1:16" ht="19.5" customHeight="1" x14ac:dyDescent="0.2">
      <c r="A421" s="444"/>
      <c r="B421" s="67" t="s">
        <v>37</v>
      </c>
      <c r="C421" s="374" t="s">
        <v>87</v>
      </c>
      <c r="D421" s="375">
        <v>0.41666666666666669</v>
      </c>
      <c r="E421" s="375">
        <v>0.5</v>
      </c>
      <c r="F421" s="296" t="s">
        <v>209</v>
      </c>
      <c r="G421" s="129"/>
      <c r="H421" s="450"/>
      <c r="I421" s="450"/>
      <c r="J421" s="450"/>
      <c r="K421" s="453"/>
      <c r="L421" s="82"/>
      <c r="M421" s="82"/>
      <c r="N421" s="82"/>
      <c r="O421" s="82"/>
      <c r="P421" s="82"/>
    </row>
    <row r="422" spans="1:16" s="436" customFormat="1" ht="19.5" customHeight="1" x14ac:dyDescent="0.2">
      <c r="A422" s="384"/>
      <c r="B422" s="407"/>
      <c r="C422" s="670"/>
      <c r="D422" s="671"/>
      <c r="E422" s="671"/>
      <c r="F422" s="437"/>
      <c r="G422" s="435"/>
      <c r="H422" s="384"/>
      <c r="I422" s="384"/>
      <c r="J422" s="384"/>
      <c r="K422" s="390"/>
      <c r="L422" s="82"/>
      <c r="M422" s="82"/>
      <c r="N422" s="82"/>
      <c r="O422" s="82"/>
      <c r="P422" s="82"/>
    </row>
    <row r="423" spans="1:16" s="436" customFormat="1" ht="19.5" customHeight="1" x14ac:dyDescent="0.2">
      <c r="A423" s="384"/>
      <c r="B423" s="407"/>
      <c r="C423" s="670"/>
      <c r="D423" s="671"/>
      <c r="E423" s="671"/>
      <c r="F423" s="437"/>
      <c r="G423" s="435"/>
      <c r="H423" s="384"/>
      <c r="I423" s="384"/>
      <c r="J423" s="384"/>
      <c r="K423" s="390"/>
      <c r="L423" s="82"/>
      <c r="M423" s="82"/>
      <c r="N423" s="82"/>
      <c r="O423" s="82"/>
      <c r="P423" s="82"/>
    </row>
    <row r="424" spans="1:16" s="436" customFormat="1" ht="19.5" customHeight="1" x14ac:dyDescent="0.2">
      <c r="A424" s="672" t="s">
        <v>6</v>
      </c>
      <c r="B424" s="673">
        <v>2018</v>
      </c>
      <c r="C424" s="672" t="s">
        <v>7</v>
      </c>
      <c r="D424" s="674" t="s">
        <v>415</v>
      </c>
      <c r="E424" s="672" t="s">
        <v>9</v>
      </c>
      <c r="F424" s="675" t="s">
        <v>416</v>
      </c>
      <c r="G424" s="676" t="s">
        <v>11</v>
      </c>
      <c r="H424" s="673">
        <v>3</v>
      </c>
      <c r="I424" s="672" t="s">
        <v>12</v>
      </c>
      <c r="J424" s="673" t="s">
        <v>417</v>
      </c>
      <c r="K424" s="677"/>
      <c r="L424" s="694" t="s">
        <v>418</v>
      </c>
      <c r="M424" s="694"/>
      <c r="N424" s="82"/>
      <c r="O424" s="82"/>
      <c r="P424" s="82"/>
    </row>
    <row r="425" spans="1:16" s="436" customFormat="1" ht="19.5" customHeight="1" x14ac:dyDescent="0.2">
      <c r="A425" s="678" t="s">
        <v>16</v>
      </c>
      <c r="B425" s="679" t="s">
        <v>17</v>
      </c>
      <c r="C425" s="679" t="s">
        <v>18</v>
      </c>
      <c r="D425" s="680" t="s">
        <v>19</v>
      </c>
      <c r="E425" s="667"/>
      <c r="F425" s="681" t="s">
        <v>20</v>
      </c>
      <c r="G425" s="681"/>
      <c r="H425" s="679" t="s">
        <v>21</v>
      </c>
      <c r="I425" s="679" t="s">
        <v>22</v>
      </c>
      <c r="J425" s="681" t="s">
        <v>23</v>
      </c>
      <c r="K425" s="682"/>
      <c r="L425" s="82"/>
      <c r="M425" s="82"/>
      <c r="N425" s="82"/>
      <c r="O425" s="82"/>
      <c r="P425" s="82"/>
    </row>
    <row r="426" spans="1:16" s="436" customFormat="1" ht="19.5" customHeight="1" x14ac:dyDescent="0.2">
      <c r="A426" s="683" t="s">
        <v>24</v>
      </c>
      <c r="B426" s="684" t="s">
        <v>17</v>
      </c>
      <c r="C426" s="685" t="s">
        <v>36</v>
      </c>
      <c r="D426" s="686">
        <v>0.75</v>
      </c>
      <c r="E426" s="686">
        <v>0.83333333333333337</v>
      </c>
      <c r="F426" s="687"/>
      <c r="G426" s="688"/>
      <c r="H426" s="689"/>
      <c r="I426" s="690">
        <v>30</v>
      </c>
      <c r="J426" s="691">
        <f>SUM(H426:I426)</f>
        <v>30</v>
      </c>
      <c r="K426" s="692"/>
      <c r="L426" s="82"/>
      <c r="M426" s="82"/>
      <c r="N426" s="82"/>
      <c r="O426" s="82"/>
      <c r="P426" s="82"/>
    </row>
    <row r="427" spans="1:16" ht="19.5" customHeight="1" x14ac:dyDescent="0.2">
      <c r="A427" s="664"/>
      <c r="B427" s="684" t="s">
        <v>37</v>
      </c>
      <c r="C427" s="685" t="s">
        <v>36</v>
      </c>
      <c r="D427" s="686">
        <v>0.83333333333333337</v>
      </c>
      <c r="E427" s="686">
        <v>0.91666666666666663</v>
      </c>
      <c r="F427" s="687"/>
      <c r="G427" s="688"/>
      <c r="H427" s="667"/>
      <c r="I427" s="667"/>
      <c r="J427" s="667"/>
      <c r="K427" s="693"/>
      <c r="L427" s="82"/>
      <c r="M427" s="82"/>
      <c r="N427" s="82"/>
      <c r="O427" s="82"/>
      <c r="P427" s="82"/>
    </row>
    <row r="428" spans="1:16" ht="19.5" customHeight="1" x14ac:dyDescent="0.2">
      <c r="A428" s="82"/>
      <c r="B428" s="82"/>
      <c r="C428" s="82"/>
      <c r="D428" s="82"/>
      <c r="E428" s="82"/>
      <c r="F428" s="117"/>
      <c r="G428" s="117"/>
      <c r="H428" s="82"/>
      <c r="I428" s="82"/>
      <c r="J428" s="117"/>
      <c r="K428" s="117"/>
      <c r="L428" s="82"/>
      <c r="M428" s="82"/>
      <c r="N428" s="82"/>
      <c r="O428" s="82"/>
      <c r="P428" s="82"/>
    </row>
    <row r="429" spans="1:16" ht="19.5" customHeight="1" x14ac:dyDescent="0.2">
      <c r="A429" s="83" t="s">
        <v>4</v>
      </c>
      <c r="B429" s="84" t="s">
        <v>210</v>
      </c>
      <c r="C429" s="85"/>
      <c r="D429" s="85"/>
      <c r="E429" s="85"/>
      <c r="F429" s="255"/>
      <c r="G429" s="255"/>
      <c r="H429" s="85"/>
      <c r="I429" s="85"/>
      <c r="J429" s="85"/>
      <c r="K429" s="117"/>
      <c r="L429" s="82"/>
      <c r="M429" s="82"/>
      <c r="N429" s="82"/>
      <c r="O429" s="82"/>
      <c r="P429" s="82"/>
    </row>
    <row r="430" spans="1:16" ht="19.5" customHeight="1" x14ac:dyDescent="0.2">
      <c r="A430" s="82"/>
      <c r="B430" s="82"/>
      <c r="C430" s="82"/>
      <c r="D430" s="82"/>
      <c r="E430" s="82"/>
      <c r="F430" s="117"/>
      <c r="G430" s="117"/>
      <c r="H430" s="82"/>
      <c r="I430" s="82"/>
      <c r="J430" s="117"/>
      <c r="K430" s="117"/>
      <c r="L430" s="82"/>
      <c r="M430" s="82"/>
      <c r="N430" s="82"/>
      <c r="O430" s="82"/>
      <c r="P430" s="82"/>
    </row>
    <row r="431" spans="1:16" ht="19.5" customHeight="1" x14ac:dyDescent="0.2">
      <c r="A431" s="210" t="s">
        <v>6</v>
      </c>
      <c r="B431" s="211">
        <v>2018</v>
      </c>
      <c r="C431" s="210" t="s">
        <v>7</v>
      </c>
      <c r="D431" s="212" t="s">
        <v>211</v>
      </c>
      <c r="E431" s="210" t="s">
        <v>9</v>
      </c>
      <c r="F431" s="123" t="s">
        <v>212</v>
      </c>
      <c r="G431" s="120" t="s">
        <v>11</v>
      </c>
      <c r="H431" s="211">
        <v>3</v>
      </c>
      <c r="I431" s="210" t="s">
        <v>12</v>
      </c>
      <c r="J431" s="211" t="s">
        <v>213</v>
      </c>
      <c r="K431" s="117"/>
      <c r="L431" s="82"/>
      <c r="M431" s="82"/>
      <c r="N431" s="82"/>
      <c r="O431" s="82"/>
      <c r="P431" s="82"/>
    </row>
    <row r="432" spans="1:16" ht="19.5" customHeight="1" x14ac:dyDescent="0.2">
      <c r="A432" s="213" t="s">
        <v>16</v>
      </c>
      <c r="B432" s="213" t="s">
        <v>17</v>
      </c>
      <c r="C432" s="213" t="s">
        <v>18</v>
      </c>
      <c r="D432" s="483" t="s">
        <v>19</v>
      </c>
      <c r="E432" s="484"/>
      <c r="F432" s="277" t="s">
        <v>20</v>
      </c>
      <c r="G432" s="277"/>
      <c r="H432" s="213" t="s">
        <v>21</v>
      </c>
      <c r="I432" s="213" t="s">
        <v>22</v>
      </c>
      <c r="J432" s="215" t="s">
        <v>23</v>
      </c>
      <c r="K432" s="117"/>
      <c r="L432" s="82"/>
      <c r="M432" s="82"/>
      <c r="N432" s="82"/>
      <c r="O432" s="82"/>
      <c r="P432" s="82"/>
    </row>
    <row r="433" spans="1:16" ht="19.5" customHeight="1" x14ac:dyDescent="0.2">
      <c r="A433" s="467" t="s">
        <v>24</v>
      </c>
      <c r="B433" s="216" t="s">
        <v>17</v>
      </c>
      <c r="C433" s="217" t="s">
        <v>36</v>
      </c>
      <c r="D433" s="218">
        <v>0.75</v>
      </c>
      <c r="E433" s="218">
        <v>0.83333333333333337</v>
      </c>
      <c r="F433" s="318" t="s">
        <v>207</v>
      </c>
      <c r="G433" s="219" t="s">
        <v>214</v>
      </c>
      <c r="H433" s="464">
        <v>30</v>
      </c>
      <c r="I433" s="477"/>
      <c r="J433" s="478">
        <v>30</v>
      </c>
      <c r="K433" s="452"/>
      <c r="L433" s="82"/>
      <c r="M433" s="82"/>
      <c r="N433" s="82"/>
      <c r="O433" s="82"/>
      <c r="P433" s="82"/>
    </row>
    <row r="434" spans="1:16" ht="19.5" customHeight="1" x14ac:dyDescent="0.2">
      <c r="A434" s="444"/>
      <c r="B434" s="216" t="s">
        <v>37</v>
      </c>
      <c r="C434" s="217" t="s">
        <v>36</v>
      </c>
      <c r="D434" s="218">
        <v>0.83333333333333337</v>
      </c>
      <c r="E434" s="218">
        <v>0.91666666666666663</v>
      </c>
      <c r="F434" s="318" t="s">
        <v>207</v>
      </c>
      <c r="G434" s="219" t="s">
        <v>215</v>
      </c>
      <c r="H434" s="444"/>
      <c r="I434" s="444"/>
      <c r="J434" s="444"/>
      <c r="K434" s="453"/>
      <c r="L434" s="82"/>
      <c r="M434" s="82"/>
      <c r="N434" s="82"/>
      <c r="O434" s="82"/>
      <c r="P434" s="82"/>
    </row>
    <row r="435" spans="1:16" s="353" customFormat="1" ht="19.5" customHeight="1" x14ac:dyDescent="0.2">
      <c r="A435" s="384"/>
      <c r="B435" s="397"/>
      <c r="C435" s="398"/>
      <c r="D435" s="399"/>
      <c r="E435" s="399"/>
      <c r="F435" s="400"/>
      <c r="G435" s="401"/>
      <c r="H435" s="384"/>
      <c r="I435" s="384"/>
      <c r="J435" s="384">
        <v>30</v>
      </c>
      <c r="K435" s="390"/>
      <c r="L435" s="82"/>
      <c r="M435" s="82"/>
      <c r="N435" s="82"/>
      <c r="O435" s="82"/>
      <c r="P435" s="82"/>
    </row>
    <row r="436" spans="1:16" ht="19.5" customHeight="1" x14ac:dyDescent="0.2">
      <c r="A436" s="82"/>
      <c r="B436" s="82"/>
      <c r="C436" s="82"/>
      <c r="D436" s="82"/>
      <c r="E436" s="82"/>
      <c r="F436" s="117"/>
      <c r="G436" s="117"/>
      <c r="H436" s="82"/>
      <c r="I436" s="82"/>
      <c r="J436" s="117"/>
      <c r="K436" s="117"/>
      <c r="L436" s="82"/>
      <c r="M436" s="82"/>
      <c r="N436" s="82"/>
      <c r="O436" s="82"/>
      <c r="P436" s="82"/>
    </row>
    <row r="437" spans="1:16" ht="19.5" customHeight="1" x14ac:dyDescent="0.2">
      <c r="A437" s="210" t="s">
        <v>6</v>
      </c>
      <c r="B437" s="211">
        <v>2018</v>
      </c>
      <c r="C437" s="210" t="s">
        <v>7</v>
      </c>
      <c r="D437" s="212" t="s">
        <v>216</v>
      </c>
      <c r="E437" s="210" t="s">
        <v>9</v>
      </c>
      <c r="F437" s="319" t="s">
        <v>217</v>
      </c>
      <c r="G437" s="120" t="s">
        <v>11</v>
      </c>
      <c r="H437" s="211">
        <v>3</v>
      </c>
      <c r="I437" s="210" t="s">
        <v>12</v>
      </c>
      <c r="J437" s="15" t="s">
        <v>218</v>
      </c>
      <c r="K437" s="294"/>
      <c r="L437" s="82"/>
      <c r="M437" s="82"/>
      <c r="N437" s="82"/>
      <c r="O437" s="82"/>
      <c r="P437" s="82"/>
    </row>
    <row r="438" spans="1:16" ht="19.5" customHeight="1" x14ac:dyDescent="0.2">
      <c r="A438" s="213" t="s">
        <v>16</v>
      </c>
      <c r="B438" s="213" t="s">
        <v>17</v>
      </c>
      <c r="C438" s="213" t="s">
        <v>18</v>
      </c>
      <c r="D438" s="483" t="s">
        <v>19</v>
      </c>
      <c r="E438" s="484"/>
      <c r="F438" s="277" t="s">
        <v>20</v>
      </c>
      <c r="G438" s="278"/>
      <c r="H438" s="213" t="s">
        <v>21</v>
      </c>
      <c r="I438" s="213" t="s">
        <v>22</v>
      </c>
      <c r="J438" s="215" t="s">
        <v>23</v>
      </c>
      <c r="K438" s="117"/>
      <c r="L438" s="82"/>
      <c r="M438" s="82"/>
      <c r="N438" s="82"/>
      <c r="O438" s="82"/>
      <c r="P438" s="82"/>
    </row>
    <row r="439" spans="1:16" ht="19.5" customHeight="1" x14ac:dyDescent="0.2">
      <c r="A439" s="468" t="s">
        <v>24</v>
      </c>
      <c r="B439" s="220" t="s">
        <v>17</v>
      </c>
      <c r="C439" s="221" t="s">
        <v>32</v>
      </c>
      <c r="D439" s="222">
        <v>0.75</v>
      </c>
      <c r="E439" s="222">
        <v>0.83333333333333337</v>
      </c>
      <c r="F439" s="320" t="s">
        <v>203</v>
      </c>
      <c r="G439" s="279"/>
      <c r="H439" s="464">
        <v>30</v>
      </c>
      <c r="I439" s="477"/>
      <c r="J439" s="478">
        <f>SUM(H439:I440)</f>
        <v>30</v>
      </c>
      <c r="K439" s="452"/>
      <c r="L439" s="130"/>
      <c r="M439" s="82"/>
      <c r="N439" s="82"/>
      <c r="O439" s="82"/>
      <c r="P439" s="82"/>
    </row>
    <row r="440" spans="1:16" ht="19.5" customHeight="1" x14ac:dyDescent="0.2">
      <c r="A440" s="444"/>
      <c r="B440" s="220" t="s">
        <v>37</v>
      </c>
      <c r="C440" s="221" t="s">
        <v>32</v>
      </c>
      <c r="D440" s="222">
        <v>0.83333333333333337</v>
      </c>
      <c r="E440" s="222">
        <v>0.91666666666666663</v>
      </c>
      <c r="F440" s="320" t="s">
        <v>203</v>
      </c>
      <c r="G440" s="279"/>
      <c r="H440" s="444"/>
      <c r="I440" s="444"/>
      <c r="J440" s="444"/>
      <c r="K440" s="453"/>
      <c r="L440" s="82"/>
      <c r="M440" s="82"/>
      <c r="N440" s="82"/>
      <c r="O440" s="82"/>
      <c r="P440" s="82"/>
    </row>
    <row r="441" spans="1:16" s="353" customFormat="1" ht="19.5" customHeight="1" x14ac:dyDescent="0.2">
      <c r="A441" s="384"/>
      <c r="B441" s="395"/>
      <c r="C441" s="396"/>
      <c r="D441" s="393"/>
      <c r="E441" s="393"/>
      <c r="F441" s="388"/>
      <c r="G441" s="389"/>
      <c r="H441" s="384"/>
      <c r="I441" s="384"/>
      <c r="J441" s="384">
        <v>30</v>
      </c>
      <c r="K441" s="390"/>
      <c r="L441" s="82"/>
      <c r="M441" s="82"/>
      <c r="N441" s="82"/>
      <c r="O441" s="82"/>
      <c r="P441" s="82"/>
    </row>
    <row r="442" spans="1:16" ht="19.5" customHeight="1" x14ac:dyDescent="0.2">
      <c r="A442" s="223"/>
      <c r="B442" s="223"/>
      <c r="C442" s="223"/>
      <c r="D442" s="223"/>
      <c r="E442" s="223"/>
      <c r="F442" s="321"/>
      <c r="G442" s="280"/>
      <c r="H442" s="223"/>
      <c r="I442" s="223"/>
      <c r="J442" s="223"/>
      <c r="K442" s="117"/>
      <c r="L442" s="82"/>
      <c r="M442" s="82"/>
      <c r="N442" s="82"/>
      <c r="O442" s="82"/>
      <c r="P442" s="82"/>
    </row>
    <row r="443" spans="1:16" ht="19.5" customHeight="1" x14ac:dyDescent="0.2">
      <c r="A443" s="210" t="s">
        <v>6</v>
      </c>
      <c r="B443" s="211">
        <v>2018</v>
      </c>
      <c r="C443" s="210" t="s">
        <v>7</v>
      </c>
      <c r="D443" s="212" t="s">
        <v>219</v>
      </c>
      <c r="E443" s="210" t="s">
        <v>9</v>
      </c>
      <c r="F443" s="319" t="s">
        <v>220</v>
      </c>
      <c r="G443" s="120" t="s">
        <v>11</v>
      </c>
      <c r="H443" s="211">
        <v>2</v>
      </c>
      <c r="I443" s="210" t="s">
        <v>12</v>
      </c>
      <c r="J443" s="15" t="s">
        <v>221</v>
      </c>
      <c r="K443" s="294"/>
      <c r="L443" s="82"/>
      <c r="M443" s="82"/>
      <c r="N443" s="82"/>
      <c r="O443" s="82"/>
      <c r="P443" s="82"/>
    </row>
    <row r="444" spans="1:16" ht="19.5" customHeight="1" x14ac:dyDescent="0.2">
      <c r="A444" s="213" t="s">
        <v>16</v>
      </c>
      <c r="B444" s="213" t="s">
        <v>17</v>
      </c>
      <c r="C444" s="213" t="s">
        <v>18</v>
      </c>
      <c r="D444" s="483" t="s">
        <v>19</v>
      </c>
      <c r="E444" s="484"/>
      <c r="F444" s="277" t="s">
        <v>20</v>
      </c>
      <c r="G444" s="277"/>
      <c r="H444" s="214" t="s">
        <v>21</v>
      </c>
      <c r="I444" s="214" t="s">
        <v>22</v>
      </c>
      <c r="J444" s="214" t="s">
        <v>23</v>
      </c>
      <c r="K444" s="117"/>
      <c r="L444" s="82"/>
      <c r="M444" s="82"/>
      <c r="N444" s="82"/>
      <c r="O444" s="82"/>
      <c r="P444" s="82"/>
    </row>
    <row r="445" spans="1:16" ht="19.5" customHeight="1" x14ac:dyDescent="0.2">
      <c r="A445" s="469" t="s">
        <v>24</v>
      </c>
      <c r="B445" s="224" t="s">
        <v>17</v>
      </c>
      <c r="C445" s="225" t="s">
        <v>92</v>
      </c>
      <c r="D445" s="226">
        <v>0.58333333333333337</v>
      </c>
      <c r="E445" s="226">
        <v>0.625</v>
      </c>
      <c r="F445" s="320" t="s">
        <v>182</v>
      </c>
      <c r="G445" s="227" t="s">
        <v>222</v>
      </c>
      <c r="H445" s="469">
        <v>10</v>
      </c>
      <c r="I445" s="550"/>
      <c r="J445" s="551">
        <f>SUM(H445:I446)</f>
        <v>10</v>
      </c>
      <c r="K445" s="452"/>
      <c r="L445" s="82"/>
      <c r="M445" s="82"/>
      <c r="N445" s="82"/>
      <c r="O445" s="82"/>
      <c r="P445" s="82"/>
    </row>
    <row r="446" spans="1:16" ht="19.5" customHeight="1" x14ac:dyDescent="0.2">
      <c r="A446" s="444"/>
      <c r="B446" s="224" t="s">
        <v>37</v>
      </c>
      <c r="C446" s="225" t="s">
        <v>92</v>
      </c>
      <c r="D446" s="226">
        <v>0.625</v>
      </c>
      <c r="E446" s="226">
        <v>0.70833333333333337</v>
      </c>
      <c r="F446" s="320" t="s">
        <v>182</v>
      </c>
      <c r="G446" s="227" t="s">
        <v>222</v>
      </c>
      <c r="H446" s="444"/>
      <c r="I446" s="444"/>
      <c r="J446" s="444"/>
      <c r="K446" s="453"/>
      <c r="L446" s="130"/>
      <c r="M446" s="82"/>
      <c r="N446" s="82"/>
      <c r="O446" s="82"/>
      <c r="P446" s="82"/>
    </row>
    <row r="447" spans="1:16" ht="19.5" customHeight="1" x14ac:dyDescent="0.2">
      <c r="A447" s="463" t="s">
        <v>27</v>
      </c>
      <c r="B447" s="228" t="s">
        <v>17</v>
      </c>
      <c r="C447" s="229" t="s">
        <v>92</v>
      </c>
      <c r="D447" s="230">
        <v>0.58333333333333337</v>
      </c>
      <c r="E447" s="230">
        <v>0.625</v>
      </c>
      <c r="F447" s="320" t="s">
        <v>223</v>
      </c>
      <c r="G447" s="231"/>
      <c r="H447" s="461">
        <v>10</v>
      </c>
      <c r="I447" s="461"/>
      <c r="J447" s="486">
        <v>10</v>
      </c>
      <c r="K447" s="452"/>
      <c r="L447" s="82"/>
      <c r="M447" s="82"/>
      <c r="N447" s="82"/>
      <c r="O447" s="82"/>
      <c r="P447" s="82"/>
    </row>
    <row r="448" spans="1:16" ht="19.5" customHeight="1" x14ac:dyDescent="0.2">
      <c r="A448" s="444"/>
      <c r="B448" s="228" t="s">
        <v>37</v>
      </c>
      <c r="C448" s="229" t="s">
        <v>92</v>
      </c>
      <c r="D448" s="230">
        <v>0.625</v>
      </c>
      <c r="E448" s="230">
        <v>0.70833333333333337</v>
      </c>
      <c r="F448" s="320" t="s">
        <v>223</v>
      </c>
      <c r="G448" s="231"/>
      <c r="H448" s="444"/>
      <c r="I448" s="444"/>
      <c r="J448" s="444"/>
      <c r="K448" s="453"/>
      <c r="L448" s="82"/>
      <c r="M448" s="82"/>
      <c r="N448" s="82"/>
      <c r="O448" s="82"/>
      <c r="P448" s="82"/>
    </row>
    <row r="449" spans="1:16" ht="19.5" customHeight="1" x14ac:dyDescent="0.2">
      <c r="A449" s="463" t="s">
        <v>28</v>
      </c>
      <c r="B449" s="228" t="s">
        <v>17</v>
      </c>
      <c r="C449" s="229" t="s">
        <v>36</v>
      </c>
      <c r="D449" s="230">
        <v>0.58333333333333337</v>
      </c>
      <c r="E449" s="230">
        <v>0.625</v>
      </c>
      <c r="F449" s="303" t="s">
        <v>197</v>
      </c>
      <c r="G449" s="231"/>
      <c r="H449" s="461">
        <v>10</v>
      </c>
      <c r="I449" s="461"/>
      <c r="J449" s="486">
        <v>10</v>
      </c>
      <c r="K449" s="452"/>
      <c r="L449" s="82"/>
      <c r="M449" s="82"/>
      <c r="N449" s="82"/>
      <c r="O449" s="82"/>
      <c r="P449" s="82"/>
    </row>
    <row r="450" spans="1:16" ht="19.5" customHeight="1" x14ac:dyDescent="0.2">
      <c r="A450" s="444"/>
      <c r="B450" s="228" t="s">
        <v>37</v>
      </c>
      <c r="C450" s="229" t="s">
        <v>36</v>
      </c>
      <c r="D450" s="230">
        <v>0.625</v>
      </c>
      <c r="E450" s="230">
        <v>0.70833333333333337</v>
      </c>
      <c r="F450" s="303" t="s">
        <v>197</v>
      </c>
      <c r="G450" s="231"/>
      <c r="H450" s="444"/>
      <c r="I450" s="444"/>
      <c r="J450" s="444"/>
      <c r="K450" s="453"/>
      <c r="L450" s="82"/>
      <c r="M450" s="82"/>
      <c r="N450" s="82"/>
      <c r="O450" s="82"/>
      <c r="P450" s="82"/>
    </row>
    <row r="451" spans="1:16" ht="19.5" customHeight="1" x14ac:dyDescent="0.2">
      <c r="A451" s="463" t="s">
        <v>38</v>
      </c>
      <c r="B451" s="228" t="s">
        <v>17</v>
      </c>
      <c r="C451" s="231" t="s">
        <v>92</v>
      </c>
      <c r="D451" s="230">
        <v>0.58333333333333337</v>
      </c>
      <c r="E451" s="230">
        <v>0.625</v>
      </c>
      <c r="F451" s="303" t="s">
        <v>224</v>
      </c>
      <c r="G451" s="231"/>
      <c r="H451" s="461">
        <v>10</v>
      </c>
      <c r="I451" s="461"/>
      <c r="J451" s="486">
        <v>10</v>
      </c>
      <c r="K451" s="452"/>
      <c r="L451" s="82"/>
      <c r="M451" s="82"/>
      <c r="N451" s="82"/>
      <c r="O451" s="82"/>
      <c r="P451" s="82"/>
    </row>
    <row r="452" spans="1:16" ht="19.5" customHeight="1" x14ac:dyDescent="0.2">
      <c r="A452" s="444"/>
      <c r="B452" s="228" t="s">
        <v>37</v>
      </c>
      <c r="C452" s="231" t="s">
        <v>92</v>
      </c>
      <c r="D452" s="230">
        <v>0.625</v>
      </c>
      <c r="E452" s="230">
        <v>0.70833333333333337</v>
      </c>
      <c r="F452" s="303" t="s">
        <v>224</v>
      </c>
      <c r="G452" s="231"/>
      <c r="H452" s="444"/>
      <c r="I452" s="444"/>
      <c r="J452" s="444"/>
      <c r="K452" s="453"/>
      <c r="L452" s="82"/>
      <c r="M452" s="82"/>
      <c r="N452" s="82"/>
      <c r="O452" s="82"/>
      <c r="P452" s="82"/>
    </row>
    <row r="453" spans="1:16" s="289" customFormat="1" ht="19.5" customHeight="1" x14ac:dyDescent="0.2">
      <c r="A453" s="443" t="s">
        <v>39</v>
      </c>
      <c r="B453" s="376" t="s">
        <v>17</v>
      </c>
      <c r="C453" s="377" t="s">
        <v>92</v>
      </c>
      <c r="D453" s="378">
        <v>0.58333333333333337</v>
      </c>
      <c r="E453" s="379">
        <v>0.625</v>
      </c>
      <c r="F453" s="369" t="s">
        <v>380</v>
      </c>
      <c r="G453" s="347"/>
      <c r="H453" s="445">
        <v>10</v>
      </c>
      <c r="I453" s="445"/>
      <c r="J453" s="446">
        <v>10</v>
      </c>
      <c r="K453" s="447"/>
      <c r="L453" s="288"/>
      <c r="M453" s="288"/>
      <c r="N453" s="288"/>
      <c r="O453" s="288"/>
      <c r="P453" s="288"/>
    </row>
    <row r="454" spans="1:16" s="289" customFormat="1" ht="19.5" customHeight="1" x14ac:dyDescent="0.2">
      <c r="A454" s="444"/>
      <c r="B454" s="376" t="s">
        <v>37</v>
      </c>
      <c r="C454" s="377" t="s">
        <v>92</v>
      </c>
      <c r="D454" s="378">
        <v>0.625</v>
      </c>
      <c r="E454" s="379">
        <v>0.70833333333333337</v>
      </c>
      <c r="F454" s="369" t="s">
        <v>380</v>
      </c>
      <c r="G454" s="347"/>
      <c r="H454" s="444"/>
      <c r="I454" s="444"/>
      <c r="J454" s="444"/>
      <c r="K454" s="448"/>
      <c r="L454" s="288"/>
      <c r="M454" s="288"/>
      <c r="N454" s="288"/>
      <c r="O454" s="288"/>
      <c r="P454" s="288"/>
    </row>
    <row r="455" spans="1:16" s="289" customFormat="1" ht="19.5" customHeight="1" x14ac:dyDescent="0.2">
      <c r="A455" s="443" t="s">
        <v>40</v>
      </c>
      <c r="B455" s="376" t="s">
        <v>17</v>
      </c>
      <c r="C455" s="377" t="s">
        <v>92</v>
      </c>
      <c r="D455" s="378">
        <v>0.58333333333333337</v>
      </c>
      <c r="E455" s="379">
        <v>0.625</v>
      </c>
      <c r="F455" s="369" t="s">
        <v>392</v>
      </c>
      <c r="G455" s="347"/>
      <c r="H455" s="445">
        <v>10</v>
      </c>
      <c r="I455" s="445"/>
      <c r="J455" s="446">
        <v>10</v>
      </c>
      <c r="K455" s="348"/>
      <c r="L455" s="288"/>
      <c r="M455" s="288"/>
      <c r="N455" s="288"/>
      <c r="O455" s="288"/>
      <c r="P455" s="288"/>
    </row>
    <row r="456" spans="1:16" s="289" customFormat="1" ht="19.5" customHeight="1" x14ac:dyDescent="0.2">
      <c r="A456" s="444"/>
      <c r="B456" s="376" t="s">
        <v>37</v>
      </c>
      <c r="C456" s="377" t="s">
        <v>92</v>
      </c>
      <c r="D456" s="378">
        <v>0.625</v>
      </c>
      <c r="E456" s="379">
        <v>0.70833333333333337</v>
      </c>
      <c r="F456" s="369" t="s">
        <v>392</v>
      </c>
      <c r="G456" s="287"/>
      <c r="H456" s="444"/>
      <c r="I456" s="444"/>
      <c r="J456" s="444"/>
      <c r="K456" s="349"/>
      <c r="L456" s="288"/>
      <c r="M456" s="288"/>
      <c r="N456" s="288"/>
      <c r="O456" s="288"/>
      <c r="P456" s="288"/>
    </row>
    <row r="457" spans="1:16" ht="19.5" customHeight="1" x14ac:dyDescent="0.2">
      <c r="A457" s="114"/>
      <c r="B457" s="114"/>
      <c r="C457" s="232"/>
      <c r="D457" s="233"/>
      <c r="E457" s="233"/>
      <c r="F457" s="185"/>
      <c r="G457" s="185"/>
      <c r="H457" s="114"/>
      <c r="I457" s="232"/>
      <c r="J457" s="185">
        <v>60</v>
      </c>
      <c r="K457" s="117"/>
      <c r="L457" s="82"/>
      <c r="M457" s="82"/>
      <c r="N457" s="82"/>
      <c r="O457" s="82"/>
      <c r="P457" s="82"/>
    </row>
    <row r="458" spans="1:16" ht="19.5" customHeight="1" x14ac:dyDescent="0.2">
      <c r="A458" s="232"/>
      <c r="B458" s="232"/>
      <c r="C458" s="232"/>
      <c r="D458" s="232"/>
      <c r="E458" s="232"/>
      <c r="F458" s="185"/>
      <c r="G458" s="185"/>
      <c r="H458" s="232"/>
      <c r="I458" s="232"/>
      <c r="J458" s="185"/>
      <c r="K458" s="117"/>
      <c r="L458" s="82"/>
      <c r="M458" s="82"/>
      <c r="N458" s="82"/>
      <c r="O458" s="82"/>
      <c r="P458" s="82"/>
    </row>
    <row r="459" spans="1:16" ht="19.5" customHeight="1" x14ac:dyDescent="0.2">
      <c r="A459" s="210" t="s">
        <v>6</v>
      </c>
      <c r="B459" s="211">
        <v>2018</v>
      </c>
      <c r="C459" s="210" t="s">
        <v>7</v>
      </c>
      <c r="D459" s="212" t="s">
        <v>225</v>
      </c>
      <c r="E459" s="210" t="s">
        <v>9</v>
      </c>
      <c r="F459" s="319" t="s">
        <v>226</v>
      </c>
      <c r="G459" s="120" t="s">
        <v>11</v>
      </c>
      <c r="H459" s="211">
        <v>3</v>
      </c>
      <c r="I459" s="210" t="s">
        <v>12</v>
      </c>
      <c r="J459" s="211" t="s">
        <v>164</v>
      </c>
      <c r="K459" s="117"/>
      <c r="L459" s="82"/>
      <c r="M459" s="82"/>
      <c r="N459" s="82"/>
      <c r="O459" s="82"/>
      <c r="P459" s="82"/>
    </row>
    <row r="460" spans="1:16" ht="19.5" customHeight="1" x14ac:dyDescent="0.2">
      <c r="A460" s="213" t="s">
        <v>16</v>
      </c>
      <c r="B460" s="213" t="s">
        <v>17</v>
      </c>
      <c r="C460" s="213" t="s">
        <v>18</v>
      </c>
      <c r="D460" s="483" t="s">
        <v>19</v>
      </c>
      <c r="E460" s="484"/>
      <c r="F460" s="277" t="s">
        <v>20</v>
      </c>
      <c r="G460" s="278"/>
      <c r="H460" s="213" t="s">
        <v>21</v>
      </c>
      <c r="I460" s="213" t="s">
        <v>22</v>
      </c>
      <c r="J460" s="215" t="s">
        <v>23</v>
      </c>
      <c r="K460" s="117"/>
      <c r="L460" s="82"/>
      <c r="M460" s="82"/>
      <c r="N460" s="82"/>
      <c r="O460" s="82"/>
      <c r="P460" s="82"/>
    </row>
    <row r="461" spans="1:16" ht="19.5" customHeight="1" x14ac:dyDescent="0.2">
      <c r="A461" s="464" t="s">
        <v>24</v>
      </c>
      <c r="B461" s="234" t="s">
        <v>17</v>
      </c>
      <c r="C461" s="235" t="s">
        <v>25</v>
      </c>
      <c r="D461" s="222">
        <v>0.75</v>
      </c>
      <c r="E461" s="222">
        <v>0.83333333333333337</v>
      </c>
      <c r="F461" s="320" t="s">
        <v>227</v>
      </c>
      <c r="G461" s="281"/>
      <c r="H461" s="464">
        <v>30</v>
      </c>
      <c r="I461" s="477"/>
      <c r="J461" s="478">
        <v>30</v>
      </c>
      <c r="K461" s="452"/>
      <c r="L461" s="82"/>
      <c r="M461" s="82"/>
      <c r="N461" s="82"/>
      <c r="O461" s="82"/>
      <c r="P461" s="82"/>
    </row>
    <row r="462" spans="1:16" ht="19.5" customHeight="1" x14ac:dyDescent="0.2">
      <c r="A462" s="444"/>
      <c r="B462" s="234" t="s">
        <v>37</v>
      </c>
      <c r="C462" s="235" t="s">
        <v>25</v>
      </c>
      <c r="D462" s="222">
        <v>0.83333333333333337</v>
      </c>
      <c r="E462" s="222">
        <v>0.91666666666666663</v>
      </c>
      <c r="F462" s="320" t="s">
        <v>227</v>
      </c>
      <c r="G462" s="281"/>
      <c r="H462" s="444"/>
      <c r="I462" s="444"/>
      <c r="J462" s="444"/>
      <c r="K462" s="453"/>
      <c r="L462" s="82"/>
      <c r="M462" s="82"/>
      <c r="N462" s="82"/>
      <c r="O462" s="82"/>
      <c r="P462" s="82"/>
    </row>
    <row r="463" spans="1:16" s="353" customFormat="1" ht="19.5" customHeight="1" x14ac:dyDescent="0.2">
      <c r="A463" s="384"/>
      <c r="B463" s="385"/>
      <c r="C463" s="392"/>
      <c r="D463" s="393"/>
      <c r="E463" s="393"/>
      <c r="F463" s="388"/>
      <c r="G463" s="394"/>
      <c r="H463" s="384"/>
      <c r="I463" s="384"/>
      <c r="J463" s="384">
        <v>30</v>
      </c>
      <c r="K463" s="390"/>
      <c r="L463" s="82"/>
      <c r="M463" s="82"/>
      <c r="N463" s="82"/>
      <c r="O463" s="82"/>
      <c r="P463" s="82"/>
    </row>
    <row r="464" spans="1:16" ht="19.5" customHeight="1" x14ac:dyDescent="0.2">
      <c r="A464" s="82"/>
      <c r="B464" s="82"/>
      <c r="C464" s="82"/>
      <c r="D464" s="232"/>
      <c r="E464" s="232"/>
      <c r="F464" s="322"/>
      <c r="G464" s="117"/>
      <c r="H464" s="82"/>
      <c r="I464" s="82"/>
      <c r="J464" s="117"/>
      <c r="K464" s="117"/>
      <c r="L464" s="82"/>
      <c r="M464" s="82"/>
      <c r="N464" s="82"/>
      <c r="O464" s="82"/>
      <c r="P464" s="82"/>
    </row>
    <row r="465" spans="1:16" ht="19.5" customHeight="1" x14ac:dyDescent="0.2">
      <c r="A465" s="210" t="s">
        <v>6</v>
      </c>
      <c r="B465" s="211">
        <v>2018</v>
      </c>
      <c r="C465" s="210" t="s">
        <v>7</v>
      </c>
      <c r="D465" s="212" t="s">
        <v>228</v>
      </c>
      <c r="E465" s="210" t="s">
        <v>9</v>
      </c>
      <c r="F465" s="241" t="s">
        <v>229</v>
      </c>
      <c r="G465" s="120" t="s">
        <v>11</v>
      </c>
      <c r="H465" s="211">
        <v>3</v>
      </c>
      <c r="I465" s="210" t="s">
        <v>12</v>
      </c>
      <c r="J465" s="211" t="s">
        <v>160</v>
      </c>
      <c r="K465" s="117"/>
      <c r="L465" s="82"/>
      <c r="M465" s="82"/>
      <c r="N465" s="82"/>
      <c r="O465" s="82"/>
      <c r="P465" s="82"/>
    </row>
    <row r="466" spans="1:16" ht="19.5" customHeight="1" x14ac:dyDescent="0.2">
      <c r="A466" s="213" t="s">
        <v>16</v>
      </c>
      <c r="B466" s="213" t="s">
        <v>17</v>
      </c>
      <c r="C466" s="213" t="s">
        <v>18</v>
      </c>
      <c r="D466" s="483" t="s">
        <v>19</v>
      </c>
      <c r="E466" s="484"/>
      <c r="F466" s="277" t="s">
        <v>20</v>
      </c>
      <c r="G466" s="215"/>
      <c r="H466" s="213" t="s">
        <v>21</v>
      </c>
      <c r="I466" s="213" t="s">
        <v>22</v>
      </c>
      <c r="J466" s="213" t="s">
        <v>23</v>
      </c>
      <c r="K466" s="117"/>
      <c r="L466" s="82"/>
      <c r="M466" s="82"/>
      <c r="N466" s="82"/>
      <c r="O466" s="82"/>
      <c r="P466" s="82"/>
    </row>
    <row r="467" spans="1:16" ht="19.5" customHeight="1" x14ac:dyDescent="0.2">
      <c r="A467" s="464" t="s">
        <v>24</v>
      </c>
      <c r="B467" s="234" t="s">
        <v>17</v>
      </c>
      <c r="C467" s="236" t="s">
        <v>48</v>
      </c>
      <c r="D467" s="105">
        <v>0.75</v>
      </c>
      <c r="E467" s="105">
        <v>0.83333333333333337</v>
      </c>
      <c r="F467" s="320" t="s">
        <v>224</v>
      </c>
      <c r="G467" s="282"/>
      <c r="H467" s="468">
        <v>30</v>
      </c>
      <c r="I467" s="488"/>
      <c r="J467" s="489">
        <v>30</v>
      </c>
      <c r="K467" s="452"/>
      <c r="L467" s="82"/>
      <c r="M467" s="82"/>
      <c r="N467" s="82"/>
      <c r="O467" s="82"/>
      <c r="P467" s="82"/>
    </row>
    <row r="468" spans="1:16" ht="19.5" customHeight="1" x14ac:dyDescent="0.2">
      <c r="A468" s="444"/>
      <c r="B468" s="234" t="s">
        <v>37</v>
      </c>
      <c r="C468" s="236" t="s">
        <v>48</v>
      </c>
      <c r="D468" s="105">
        <v>0.83333333333333337</v>
      </c>
      <c r="E468" s="105">
        <v>0.91666666666666663</v>
      </c>
      <c r="F468" s="320" t="s">
        <v>224</v>
      </c>
      <c r="G468" s="282"/>
      <c r="H468" s="444"/>
      <c r="I468" s="444"/>
      <c r="J468" s="444"/>
      <c r="K468" s="453"/>
      <c r="L468" s="82"/>
      <c r="M468" s="82"/>
      <c r="N468" s="82"/>
      <c r="O468" s="82"/>
      <c r="P468" s="82"/>
    </row>
    <row r="469" spans="1:16" s="353" customFormat="1" ht="19.5" customHeight="1" x14ac:dyDescent="0.2">
      <c r="A469" s="384"/>
      <c r="B469" s="385"/>
      <c r="C469" s="386"/>
      <c r="D469" s="387"/>
      <c r="E469" s="387"/>
      <c r="F469" s="388"/>
      <c r="G469" s="391"/>
      <c r="H469" s="384"/>
      <c r="I469" s="384"/>
      <c r="J469" s="384">
        <v>30</v>
      </c>
      <c r="K469" s="390"/>
      <c r="L469" s="82"/>
      <c r="M469" s="82"/>
      <c r="N469" s="82"/>
      <c r="O469" s="82"/>
      <c r="P469" s="82"/>
    </row>
    <row r="470" spans="1:16" ht="19.5" customHeight="1" x14ac:dyDescent="0.2">
      <c r="A470" s="223"/>
      <c r="B470" s="223"/>
      <c r="C470" s="223"/>
      <c r="D470" s="223"/>
      <c r="E470" s="223"/>
      <c r="F470" s="321"/>
      <c r="G470" s="280"/>
      <c r="H470" s="223"/>
      <c r="I470" s="223"/>
      <c r="J470" s="117"/>
      <c r="K470" s="117"/>
      <c r="L470" s="82"/>
      <c r="M470" s="82"/>
      <c r="N470" s="82"/>
      <c r="O470" s="82"/>
      <c r="P470" s="82"/>
    </row>
    <row r="471" spans="1:16" ht="19.5" customHeight="1" x14ac:dyDescent="0.2">
      <c r="A471" s="210" t="s">
        <v>6</v>
      </c>
      <c r="B471" s="211">
        <v>2018</v>
      </c>
      <c r="C471" s="210" t="s">
        <v>7</v>
      </c>
      <c r="D471" s="212" t="s">
        <v>230</v>
      </c>
      <c r="E471" s="210" t="s">
        <v>9</v>
      </c>
      <c r="F471" s="319" t="s">
        <v>231</v>
      </c>
      <c r="G471" s="120" t="s">
        <v>11</v>
      </c>
      <c r="H471" s="211">
        <v>3</v>
      </c>
      <c r="I471" s="210" t="s">
        <v>12</v>
      </c>
      <c r="J471" s="15" t="s">
        <v>232</v>
      </c>
      <c r="K471" s="294"/>
      <c r="L471" s="82"/>
      <c r="M471" s="82"/>
      <c r="N471" s="82"/>
      <c r="O471" s="82"/>
      <c r="P471" s="82"/>
    </row>
    <row r="472" spans="1:16" ht="19.5" customHeight="1" x14ac:dyDescent="0.2">
      <c r="A472" s="213" t="s">
        <v>16</v>
      </c>
      <c r="B472" s="213" t="s">
        <v>17</v>
      </c>
      <c r="C472" s="213" t="s">
        <v>18</v>
      </c>
      <c r="D472" s="483" t="s">
        <v>19</v>
      </c>
      <c r="E472" s="484"/>
      <c r="F472" s="277" t="s">
        <v>20</v>
      </c>
      <c r="G472" s="215"/>
      <c r="H472" s="213" t="s">
        <v>21</v>
      </c>
      <c r="I472" s="213" t="s">
        <v>22</v>
      </c>
      <c r="J472" s="215" t="s">
        <v>23</v>
      </c>
      <c r="K472" s="117"/>
      <c r="L472" s="82"/>
      <c r="M472" s="82"/>
      <c r="N472" s="82"/>
      <c r="O472" s="82"/>
      <c r="P472" s="82"/>
    </row>
    <row r="473" spans="1:16" ht="19.5" customHeight="1" x14ac:dyDescent="0.2">
      <c r="A473" s="464" t="s">
        <v>24</v>
      </c>
      <c r="B473" s="234" t="s">
        <v>17</v>
      </c>
      <c r="C473" s="236" t="s">
        <v>44</v>
      </c>
      <c r="D473" s="105">
        <v>0.75</v>
      </c>
      <c r="E473" s="105">
        <v>0.83333333333333337</v>
      </c>
      <c r="F473" s="320" t="s">
        <v>209</v>
      </c>
      <c r="G473" s="279"/>
      <c r="H473" s="479">
        <v>30</v>
      </c>
      <c r="I473" s="477"/>
      <c r="J473" s="478">
        <f>SUM(H473:I474)</f>
        <v>30</v>
      </c>
      <c r="K473" s="452"/>
      <c r="L473" s="82"/>
      <c r="M473" s="82"/>
      <c r="N473" s="82"/>
      <c r="O473" s="82"/>
      <c r="P473" s="82"/>
    </row>
    <row r="474" spans="1:16" ht="19.5" customHeight="1" x14ac:dyDescent="0.2">
      <c r="A474" s="444"/>
      <c r="B474" s="234" t="s">
        <v>37</v>
      </c>
      <c r="C474" s="236" t="s">
        <v>44</v>
      </c>
      <c r="D474" s="105">
        <v>0.83333333333333337</v>
      </c>
      <c r="E474" s="105">
        <v>0.91666666666666663</v>
      </c>
      <c r="F474" s="320" t="s">
        <v>209</v>
      </c>
      <c r="G474" s="279"/>
      <c r="H474" s="444"/>
      <c r="I474" s="444"/>
      <c r="J474" s="444"/>
      <c r="K474" s="453"/>
      <c r="L474" s="82"/>
      <c r="M474" s="82"/>
      <c r="N474" s="82"/>
      <c r="O474" s="82"/>
      <c r="P474" s="82"/>
    </row>
    <row r="475" spans="1:16" s="353" customFormat="1" ht="19.5" customHeight="1" x14ac:dyDescent="0.2">
      <c r="A475" s="384"/>
      <c r="B475" s="385"/>
      <c r="C475" s="386"/>
      <c r="D475" s="387"/>
      <c r="E475" s="387"/>
      <c r="F475" s="388"/>
      <c r="G475" s="389"/>
      <c r="H475" s="384"/>
      <c r="I475" s="384"/>
      <c r="J475" s="384">
        <v>30</v>
      </c>
      <c r="K475" s="390"/>
      <c r="L475" s="82"/>
      <c r="M475" s="82"/>
      <c r="N475" s="82"/>
      <c r="O475" s="82"/>
      <c r="P475" s="82"/>
    </row>
    <row r="476" spans="1:16" ht="19.5" customHeight="1" x14ac:dyDescent="0.2">
      <c r="A476" s="82"/>
      <c r="B476" s="82"/>
      <c r="C476" s="82"/>
      <c r="D476" s="82"/>
      <c r="E476" s="82"/>
      <c r="F476" s="117"/>
      <c r="G476" s="117"/>
      <c r="H476" s="82"/>
      <c r="I476" s="82"/>
      <c r="J476" s="117"/>
      <c r="K476" s="117"/>
      <c r="L476" s="82"/>
      <c r="M476" s="82"/>
      <c r="N476" s="82"/>
      <c r="O476" s="82"/>
      <c r="P476" s="82"/>
    </row>
    <row r="477" spans="1:16" ht="19.5" customHeight="1" x14ac:dyDescent="0.2">
      <c r="A477" s="131" t="s">
        <v>6</v>
      </c>
      <c r="B477" s="121">
        <v>2018</v>
      </c>
      <c r="C477" s="131" t="s">
        <v>7</v>
      </c>
      <c r="D477" s="122" t="s">
        <v>233</v>
      </c>
      <c r="E477" s="131" t="s">
        <v>9</v>
      </c>
      <c r="F477" s="123" t="s">
        <v>234</v>
      </c>
      <c r="G477" s="120" t="s">
        <v>11</v>
      </c>
      <c r="H477" s="121">
        <v>2</v>
      </c>
      <c r="I477" s="131" t="s">
        <v>12</v>
      </c>
      <c r="J477" s="121" t="s">
        <v>219</v>
      </c>
      <c r="K477" s="117"/>
      <c r="L477" s="82"/>
      <c r="M477" s="82"/>
      <c r="N477" s="82"/>
      <c r="O477" s="82"/>
      <c r="P477" s="82"/>
    </row>
    <row r="478" spans="1:16" ht="19.5" customHeight="1" x14ac:dyDescent="0.2">
      <c r="A478" s="92" t="s">
        <v>16</v>
      </c>
      <c r="B478" s="93" t="s">
        <v>17</v>
      </c>
      <c r="C478" s="93" t="s">
        <v>18</v>
      </c>
      <c r="D478" s="454" t="s">
        <v>19</v>
      </c>
      <c r="E478" s="455"/>
      <c r="F478" s="94" t="s">
        <v>20</v>
      </c>
      <c r="G478" s="94"/>
      <c r="H478" s="93" t="s">
        <v>21</v>
      </c>
      <c r="I478" s="93" t="s">
        <v>22</v>
      </c>
      <c r="J478" s="94" t="s">
        <v>23</v>
      </c>
      <c r="K478" s="117"/>
      <c r="L478" s="82"/>
      <c r="M478" s="82"/>
      <c r="N478" s="82"/>
      <c r="O478" s="82"/>
      <c r="P478" s="82"/>
    </row>
    <row r="479" spans="1:16" ht="19.5" customHeight="1" x14ac:dyDescent="0.2">
      <c r="A479" s="466" t="s">
        <v>24</v>
      </c>
      <c r="B479" s="67" t="s">
        <v>17</v>
      </c>
      <c r="C479" s="138" t="s">
        <v>44</v>
      </c>
      <c r="D479" s="127">
        <v>0.58333333333333337</v>
      </c>
      <c r="E479" s="127">
        <v>0.66666666666666663</v>
      </c>
      <c r="F479" s="300" t="s">
        <v>235</v>
      </c>
      <c r="G479" s="264"/>
      <c r="H479" s="458">
        <v>30</v>
      </c>
      <c r="I479" s="459"/>
      <c r="J479" s="456">
        <f>SUM(H479:I479)</f>
        <v>30</v>
      </c>
      <c r="K479" s="452"/>
      <c r="L479" s="82"/>
      <c r="M479" s="82"/>
      <c r="N479" s="82"/>
      <c r="O479" s="82"/>
      <c r="P479" s="82"/>
    </row>
    <row r="480" spans="1:16" ht="19.5" customHeight="1" x14ac:dyDescent="0.2">
      <c r="A480" s="444"/>
      <c r="B480" s="67" t="s">
        <v>37</v>
      </c>
      <c r="C480" s="138" t="s">
        <v>44</v>
      </c>
      <c r="D480" s="127">
        <v>0.66666666666666663</v>
      </c>
      <c r="E480" s="127">
        <v>0.75</v>
      </c>
      <c r="F480" s="300" t="s">
        <v>235</v>
      </c>
      <c r="G480" s="264"/>
      <c r="H480" s="457"/>
      <c r="I480" s="457"/>
      <c r="J480" s="457"/>
      <c r="K480" s="453"/>
      <c r="L480" s="82"/>
      <c r="M480" s="82"/>
      <c r="N480" s="82"/>
      <c r="O480" s="82"/>
      <c r="P480" s="82"/>
    </row>
    <row r="481" spans="1:16" ht="19.5" customHeight="1" x14ac:dyDescent="0.2">
      <c r="A481" s="82"/>
      <c r="B481" s="82"/>
      <c r="C481" s="82"/>
      <c r="D481" s="82"/>
      <c r="E481" s="82"/>
      <c r="F481" s="117"/>
      <c r="G481" s="117"/>
      <c r="H481" s="82"/>
      <c r="I481" s="82"/>
      <c r="J481" s="117">
        <v>30</v>
      </c>
      <c r="K481" s="117"/>
      <c r="L481" s="82"/>
      <c r="M481" s="82"/>
      <c r="N481" s="82"/>
      <c r="O481" s="82"/>
      <c r="P481" s="82"/>
    </row>
    <row r="482" spans="1:16" ht="19.5" customHeight="1" x14ac:dyDescent="0.2">
      <c r="A482" s="82"/>
      <c r="B482" s="82"/>
      <c r="C482" s="82"/>
      <c r="D482" s="82"/>
      <c r="E482" s="82"/>
      <c r="F482" s="117"/>
      <c r="G482" s="117"/>
      <c r="H482" s="82"/>
      <c r="I482" s="82"/>
      <c r="J482" s="117"/>
      <c r="K482" s="117"/>
      <c r="L482" s="82"/>
      <c r="M482" s="82"/>
      <c r="N482" s="82"/>
      <c r="O482" s="82"/>
      <c r="P482" s="82"/>
    </row>
    <row r="483" spans="1:16" ht="19.5" customHeight="1" x14ac:dyDescent="0.2">
      <c r="A483" s="210" t="s">
        <v>6</v>
      </c>
      <c r="B483" s="211">
        <v>2018</v>
      </c>
      <c r="C483" s="210" t="s">
        <v>7</v>
      </c>
      <c r="D483" s="212" t="s">
        <v>236</v>
      </c>
      <c r="E483" s="210" t="s">
        <v>9</v>
      </c>
      <c r="F483" s="123" t="s">
        <v>237</v>
      </c>
      <c r="G483" s="120" t="s">
        <v>11</v>
      </c>
      <c r="H483" s="211">
        <v>3</v>
      </c>
      <c r="I483" s="210" t="s">
        <v>12</v>
      </c>
      <c r="J483" s="211" t="s">
        <v>204</v>
      </c>
      <c r="K483" s="117"/>
      <c r="L483" s="82"/>
      <c r="M483" s="82"/>
      <c r="N483" s="82"/>
      <c r="O483" s="82"/>
      <c r="P483" s="82"/>
    </row>
    <row r="484" spans="1:16" ht="19.5" customHeight="1" x14ac:dyDescent="0.2">
      <c r="A484" s="213" t="s">
        <v>16</v>
      </c>
      <c r="B484" s="213" t="s">
        <v>17</v>
      </c>
      <c r="C484" s="213" t="s">
        <v>18</v>
      </c>
      <c r="D484" s="483" t="s">
        <v>19</v>
      </c>
      <c r="E484" s="484"/>
      <c r="F484" s="323"/>
      <c r="G484" s="215"/>
      <c r="H484" s="213" t="s">
        <v>21</v>
      </c>
      <c r="I484" s="213" t="s">
        <v>22</v>
      </c>
      <c r="J484" s="215" t="s">
        <v>23</v>
      </c>
      <c r="K484" s="117"/>
      <c r="L484" s="82"/>
      <c r="M484" s="82"/>
      <c r="N484" s="82"/>
      <c r="O484" s="82"/>
      <c r="P484" s="82"/>
    </row>
    <row r="485" spans="1:16" ht="19.5" customHeight="1" x14ac:dyDescent="0.2">
      <c r="A485" s="485" t="s">
        <v>24</v>
      </c>
      <c r="B485" s="237" t="s">
        <v>17</v>
      </c>
      <c r="C485" s="217" t="s">
        <v>32</v>
      </c>
      <c r="D485" s="238">
        <v>0.58333333333333337</v>
      </c>
      <c r="E485" s="238">
        <v>0.66666666666666663</v>
      </c>
      <c r="F485" s="331" t="s">
        <v>398</v>
      </c>
      <c r="G485" s="283"/>
      <c r="H485" s="479">
        <v>30</v>
      </c>
      <c r="I485" s="480"/>
      <c r="J485" s="481">
        <f>SUM(H485:I486)</f>
        <v>30</v>
      </c>
      <c r="K485" s="482"/>
      <c r="L485" s="82"/>
      <c r="M485" s="82"/>
      <c r="N485" s="82"/>
      <c r="O485" s="82"/>
      <c r="P485" s="82"/>
    </row>
    <row r="486" spans="1:16" ht="19.5" customHeight="1" x14ac:dyDescent="0.2">
      <c r="A486" s="444"/>
      <c r="B486" s="237" t="s">
        <v>37</v>
      </c>
      <c r="C486" s="217" t="s">
        <v>32</v>
      </c>
      <c r="D486" s="238">
        <v>0.66666666666666663</v>
      </c>
      <c r="E486" s="238">
        <v>0.75</v>
      </c>
      <c r="F486" s="332" t="s">
        <v>398</v>
      </c>
      <c r="G486" s="283"/>
      <c r="H486" s="444"/>
      <c r="I486" s="444"/>
      <c r="J486" s="444"/>
      <c r="K486" s="453"/>
      <c r="L486" s="130"/>
      <c r="M486" s="82"/>
      <c r="N486" s="82"/>
      <c r="O486" s="82"/>
      <c r="P486" s="82"/>
    </row>
    <row r="487" spans="1:16" ht="19.5" customHeight="1" x14ac:dyDescent="0.2">
      <c r="A487" s="82"/>
      <c r="B487" s="82"/>
      <c r="C487" s="82"/>
      <c r="D487" s="82"/>
      <c r="E487" s="82"/>
      <c r="F487" s="117"/>
      <c r="G487" s="117"/>
      <c r="H487" s="82"/>
      <c r="I487" s="82"/>
      <c r="J487" s="117">
        <v>30</v>
      </c>
      <c r="K487" s="117"/>
      <c r="L487" s="82"/>
      <c r="M487" s="82"/>
      <c r="N487" s="82"/>
      <c r="O487" s="82"/>
      <c r="P487" s="82"/>
    </row>
    <row r="488" spans="1:16" ht="19.5" customHeight="1" x14ac:dyDescent="0.2">
      <c r="A488" s="82"/>
      <c r="B488" s="82"/>
      <c r="C488" s="82"/>
      <c r="D488" s="82"/>
      <c r="E488" s="82"/>
      <c r="F488" s="117"/>
      <c r="G488" s="117"/>
      <c r="H488" s="82"/>
      <c r="I488" s="82"/>
      <c r="J488" s="117"/>
      <c r="K488" s="117"/>
      <c r="L488" s="82"/>
      <c r="M488" s="82"/>
      <c r="N488" s="82"/>
      <c r="O488" s="82"/>
      <c r="P488" s="82"/>
    </row>
    <row r="489" spans="1:16" ht="19.5" customHeight="1" x14ac:dyDescent="0.2">
      <c r="A489" s="83" t="s">
        <v>4</v>
      </c>
      <c r="B489" s="84" t="s">
        <v>238</v>
      </c>
      <c r="C489" s="85"/>
      <c r="D489" s="85"/>
      <c r="E489" s="85"/>
      <c r="F489" s="255"/>
      <c r="G489" s="255"/>
      <c r="H489" s="85"/>
      <c r="I489" s="85"/>
      <c r="J489" s="85"/>
      <c r="K489" s="117"/>
      <c r="L489" s="82"/>
      <c r="M489" s="82"/>
      <c r="N489" s="82"/>
      <c r="O489" s="82"/>
      <c r="P489" s="82"/>
    </row>
    <row r="490" spans="1:16" ht="19.5" customHeight="1" x14ac:dyDescent="0.2">
      <c r="A490" s="119"/>
      <c r="B490" s="239"/>
      <c r="C490" s="119"/>
      <c r="D490" s="240"/>
      <c r="E490" s="119"/>
      <c r="F490" s="117"/>
      <c r="G490" s="117"/>
      <c r="H490" s="239"/>
      <c r="I490" s="119"/>
      <c r="J490" s="239"/>
      <c r="K490" s="117"/>
      <c r="L490" s="82"/>
      <c r="M490" s="82"/>
      <c r="N490" s="82"/>
      <c r="O490" s="82"/>
      <c r="P490" s="82"/>
    </row>
    <row r="491" spans="1:16" ht="19.5" customHeight="1" x14ac:dyDescent="0.2">
      <c r="A491" s="131" t="s">
        <v>6</v>
      </c>
      <c r="B491" s="121">
        <v>2018</v>
      </c>
      <c r="C491" s="131" t="s">
        <v>7</v>
      </c>
      <c r="D491" s="122" t="s">
        <v>233</v>
      </c>
      <c r="E491" s="131" t="s">
        <v>9</v>
      </c>
      <c r="F491" s="123" t="s">
        <v>239</v>
      </c>
      <c r="G491" s="120" t="s">
        <v>11</v>
      </c>
      <c r="H491" s="121">
        <v>2</v>
      </c>
      <c r="I491" s="131" t="s">
        <v>12</v>
      </c>
      <c r="J491" s="121" t="s">
        <v>219</v>
      </c>
      <c r="K491" s="117"/>
      <c r="L491" s="82"/>
      <c r="M491" s="82"/>
      <c r="N491" s="82"/>
      <c r="O491" s="82"/>
      <c r="P491" s="82"/>
    </row>
    <row r="492" spans="1:16" ht="19.5" customHeight="1" x14ac:dyDescent="0.2">
      <c r="A492" s="92" t="s">
        <v>16</v>
      </c>
      <c r="B492" s="93" t="s">
        <v>17</v>
      </c>
      <c r="C492" s="93" t="s">
        <v>18</v>
      </c>
      <c r="D492" s="454" t="s">
        <v>19</v>
      </c>
      <c r="E492" s="455"/>
      <c r="F492" s="94" t="s">
        <v>20</v>
      </c>
      <c r="G492" s="94"/>
      <c r="H492" s="93" t="s">
        <v>21</v>
      </c>
      <c r="I492" s="93" t="s">
        <v>22</v>
      </c>
      <c r="J492" s="94" t="s">
        <v>23</v>
      </c>
      <c r="K492" s="117"/>
      <c r="L492" s="82"/>
      <c r="M492" s="82"/>
      <c r="N492" s="82"/>
      <c r="O492" s="82"/>
      <c r="P492" s="82"/>
    </row>
    <row r="493" spans="1:16" ht="19.5" customHeight="1" x14ac:dyDescent="0.2">
      <c r="A493" s="466" t="s">
        <v>24</v>
      </c>
      <c r="B493" s="67" t="s">
        <v>17</v>
      </c>
      <c r="C493" s="138" t="s">
        <v>44</v>
      </c>
      <c r="D493" s="127">
        <v>0.79166666666666663</v>
      </c>
      <c r="E493" s="127">
        <v>0.83333333333333337</v>
      </c>
      <c r="F493" s="300" t="s">
        <v>132</v>
      </c>
      <c r="G493" s="264"/>
      <c r="H493" s="458" t="s">
        <v>420</v>
      </c>
      <c r="I493" s="459"/>
      <c r="J493" s="456">
        <v>15</v>
      </c>
      <c r="K493" s="452"/>
      <c r="L493" s="130" t="s">
        <v>422</v>
      </c>
      <c r="M493" s="130"/>
      <c r="N493" s="82"/>
      <c r="O493" s="82"/>
      <c r="P493" s="82"/>
    </row>
    <row r="494" spans="1:16" ht="19.5" customHeight="1" x14ac:dyDescent="0.2">
      <c r="A494" s="444"/>
      <c r="B494" s="67" t="s">
        <v>37</v>
      </c>
      <c r="C494" s="138" t="s">
        <v>44</v>
      </c>
      <c r="D494" s="127">
        <v>0.83333333333333337</v>
      </c>
      <c r="E494" s="127">
        <v>0.91666666666666663</v>
      </c>
      <c r="F494" s="300" t="s">
        <v>132</v>
      </c>
      <c r="G494" s="264"/>
      <c r="H494" s="457"/>
      <c r="I494" s="457"/>
      <c r="J494" s="457"/>
      <c r="K494" s="453"/>
      <c r="L494" s="82"/>
      <c r="M494" s="82"/>
      <c r="N494" s="82"/>
      <c r="O494" s="82"/>
      <c r="P494" s="82"/>
    </row>
    <row r="495" spans="1:16" ht="19.5" customHeight="1" x14ac:dyDescent="0.2">
      <c r="A495" s="466" t="s">
        <v>27</v>
      </c>
      <c r="B495" s="67" t="s">
        <v>17</v>
      </c>
      <c r="C495" s="138" t="s">
        <v>92</v>
      </c>
      <c r="D495" s="127">
        <v>0.79166666666666663</v>
      </c>
      <c r="E495" s="127">
        <v>0.83333333333333337</v>
      </c>
      <c r="F495" s="300" t="s">
        <v>111</v>
      </c>
      <c r="G495" s="264"/>
      <c r="H495" s="552" t="s">
        <v>420</v>
      </c>
      <c r="I495" s="553"/>
      <c r="J495" s="554">
        <v>15</v>
      </c>
      <c r="K495" s="452"/>
      <c r="L495" s="82"/>
      <c r="M495" s="82"/>
      <c r="N495" s="82"/>
      <c r="O495" s="82"/>
      <c r="P495" s="82"/>
    </row>
    <row r="496" spans="1:16" ht="19.5" customHeight="1" x14ac:dyDescent="0.2">
      <c r="A496" s="444"/>
      <c r="B496" s="67" t="s">
        <v>37</v>
      </c>
      <c r="C496" s="138" t="s">
        <v>92</v>
      </c>
      <c r="D496" s="127">
        <v>0.83333333333333337</v>
      </c>
      <c r="E496" s="127">
        <v>0.91666666666666663</v>
      </c>
      <c r="F496" s="300" t="s">
        <v>111</v>
      </c>
      <c r="G496" s="264"/>
      <c r="H496" s="444"/>
      <c r="I496" s="444"/>
      <c r="J496" s="450"/>
      <c r="K496" s="453"/>
      <c r="L496" s="82"/>
      <c r="M496" s="82"/>
      <c r="N496" s="82"/>
      <c r="O496" s="82"/>
      <c r="P496" s="82"/>
    </row>
    <row r="497" spans="1:17" ht="19.5" customHeight="1" x14ac:dyDescent="0.2">
      <c r="A497" s="466" t="s">
        <v>28</v>
      </c>
      <c r="B497" s="67" t="s">
        <v>17</v>
      </c>
      <c r="C497" s="138" t="s">
        <v>92</v>
      </c>
      <c r="D497" s="127">
        <v>0.79166666666666663</v>
      </c>
      <c r="E497" s="127">
        <v>0.83333333333333337</v>
      </c>
      <c r="F497" s="296" t="s">
        <v>227</v>
      </c>
      <c r="G497" s="264"/>
      <c r="H497" s="552" t="s">
        <v>420</v>
      </c>
      <c r="I497" s="553"/>
      <c r="J497" s="554">
        <v>15</v>
      </c>
      <c r="K497" s="452"/>
      <c r="L497" s="82"/>
      <c r="M497" s="82"/>
      <c r="N497" s="82"/>
      <c r="O497" s="82"/>
      <c r="P497" s="82"/>
    </row>
    <row r="498" spans="1:17" ht="19.5" customHeight="1" x14ac:dyDescent="0.2">
      <c r="A498" s="444"/>
      <c r="B498" s="67" t="s">
        <v>37</v>
      </c>
      <c r="C498" s="138" t="s">
        <v>92</v>
      </c>
      <c r="D498" s="127">
        <v>0.83333333333333337</v>
      </c>
      <c r="E498" s="127">
        <v>0.91666666666666663</v>
      </c>
      <c r="F498" s="296" t="s">
        <v>227</v>
      </c>
      <c r="G498" s="264"/>
      <c r="H498" s="444"/>
      <c r="I498" s="444"/>
      <c r="J498" s="450"/>
      <c r="K498" s="453"/>
      <c r="L498" s="82"/>
      <c r="M498" s="82"/>
      <c r="N498" s="82"/>
      <c r="O498" s="82"/>
      <c r="P498" s="82"/>
    </row>
    <row r="499" spans="1:17" ht="19.5" customHeight="1" x14ac:dyDescent="0.2">
      <c r="A499" s="466" t="s">
        <v>38</v>
      </c>
      <c r="B499" s="67" t="s">
        <v>17</v>
      </c>
      <c r="C499" s="138" t="s">
        <v>92</v>
      </c>
      <c r="D499" s="127">
        <v>0.79166666666666663</v>
      </c>
      <c r="E499" s="127">
        <v>0.83333333333333337</v>
      </c>
      <c r="F499" s="309" t="s">
        <v>401</v>
      </c>
      <c r="G499" s="264"/>
      <c r="H499" s="552" t="s">
        <v>420</v>
      </c>
      <c r="I499" s="553"/>
      <c r="J499" s="554">
        <v>15</v>
      </c>
      <c r="K499" s="452"/>
      <c r="L499" s="82"/>
      <c r="M499" s="82"/>
      <c r="N499" s="82"/>
      <c r="O499" s="82"/>
      <c r="P499" s="82"/>
    </row>
    <row r="500" spans="1:17" ht="19.5" customHeight="1" x14ac:dyDescent="0.2">
      <c r="A500" s="444"/>
      <c r="B500" s="67" t="s">
        <v>37</v>
      </c>
      <c r="C500" s="138" t="s">
        <v>92</v>
      </c>
      <c r="D500" s="127">
        <v>0.83333333333333337</v>
      </c>
      <c r="E500" s="127">
        <v>0.91666666666666663</v>
      </c>
      <c r="F500" s="309" t="s">
        <v>401</v>
      </c>
      <c r="G500" s="264"/>
      <c r="H500" s="444"/>
      <c r="I500" s="444"/>
      <c r="J500" s="450"/>
      <c r="K500" s="453"/>
      <c r="L500" s="82"/>
      <c r="M500" s="82"/>
      <c r="N500" s="82"/>
      <c r="O500" s="82"/>
      <c r="P500" s="82"/>
    </row>
    <row r="501" spans="1:17" ht="19.5" customHeight="1" x14ac:dyDescent="0.2">
      <c r="A501" s="466" t="s">
        <v>39</v>
      </c>
      <c r="B501" s="67" t="s">
        <v>17</v>
      </c>
      <c r="C501" s="138" t="s">
        <v>92</v>
      </c>
      <c r="D501" s="127">
        <v>0.79166666666666663</v>
      </c>
      <c r="E501" s="127">
        <v>0.83333333333333337</v>
      </c>
      <c r="F501" s="309" t="s">
        <v>400</v>
      </c>
      <c r="G501" s="264"/>
      <c r="H501" s="552" t="s">
        <v>420</v>
      </c>
      <c r="I501" s="553"/>
      <c r="J501" s="554">
        <v>15</v>
      </c>
      <c r="K501" s="452"/>
      <c r="L501" s="82"/>
      <c r="M501" s="82"/>
      <c r="N501" s="82"/>
      <c r="O501" s="82"/>
      <c r="P501" s="82"/>
    </row>
    <row r="502" spans="1:17" ht="19.5" customHeight="1" x14ac:dyDescent="0.2">
      <c r="A502" s="444"/>
      <c r="B502" s="67" t="s">
        <v>37</v>
      </c>
      <c r="C502" s="138" t="s">
        <v>92</v>
      </c>
      <c r="D502" s="127">
        <v>0.83333333333333337</v>
      </c>
      <c r="E502" s="127">
        <v>0.91666666666666663</v>
      </c>
      <c r="F502" s="309" t="s">
        <v>400</v>
      </c>
      <c r="G502" s="264"/>
      <c r="H502" s="444"/>
      <c r="I502" s="444"/>
      <c r="J502" s="450"/>
      <c r="K502" s="453"/>
      <c r="L502" s="82"/>
      <c r="M502" s="82"/>
      <c r="N502" s="82"/>
      <c r="O502" s="82"/>
      <c r="P502" s="82"/>
    </row>
    <row r="503" spans="1:17" ht="19.5" customHeight="1" x14ac:dyDescent="0.2">
      <c r="A503" s="466" t="s">
        <v>40</v>
      </c>
      <c r="B503" s="67" t="s">
        <v>17</v>
      </c>
      <c r="C503" s="138" t="s">
        <v>44</v>
      </c>
      <c r="D503" s="127">
        <v>0.79166666666666663</v>
      </c>
      <c r="E503" s="127">
        <v>0.83333333333333337</v>
      </c>
      <c r="F503" s="715" t="s">
        <v>423</v>
      </c>
      <c r="G503" s="342"/>
      <c r="H503" s="552" t="s">
        <v>421</v>
      </c>
      <c r="I503" s="553"/>
      <c r="J503" s="554">
        <v>25</v>
      </c>
      <c r="K503" s="452"/>
      <c r="L503" s="130" t="s">
        <v>424</v>
      </c>
      <c r="M503" s="130"/>
      <c r="N503" s="130"/>
      <c r="O503" s="130"/>
      <c r="P503" s="130"/>
      <c r="Q503" s="290"/>
    </row>
    <row r="504" spans="1:17" ht="19.5" customHeight="1" x14ac:dyDescent="0.2">
      <c r="A504" s="444"/>
      <c r="B504" s="67" t="s">
        <v>37</v>
      </c>
      <c r="C504" s="138" t="s">
        <v>44</v>
      </c>
      <c r="D504" s="127">
        <v>0.83333333333333337</v>
      </c>
      <c r="E504" s="127">
        <v>0.91666666666666663</v>
      </c>
      <c r="F504" s="715" t="s">
        <v>423</v>
      </c>
      <c r="G504" s="342"/>
      <c r="H504" s="444"/>
      <c r="I504" s="444"/>
      <c r="J504" s="450"/>
      <c r="K504" s="453"/>
      <c r="L504" s="354"/>
      <c r="M504" s="354"/>
      <c r="N504" s="354"/>
      <c r="O504" s="354"/>
      <c r="P504" s="82"/>
    </row>
    <row r="505" spans="1:17" ht="19.5" customHeight="1" x14ac:dyDescent="0.2">
      <c r="A505" s="466" t="s">
        <v>240</v>
      </c>
      <c r="B505" s="67" t="s">
        <v>17</v>
      </c>
      <c r="C505" s="138" t="s">
        <v>92</v>
      </c>
      <c r="D505" s="127">
        <v>0.79166666666666663</v>
      </c>
      <c r="E505" s="127">
        <v>0.83333333333333337</v>
      </c>
      <c r="F505" s="309" t="s">
        <v>402</v>
      </c>
      <c r="G505" s="264"/>
      <c r="H505" s="552" t="s">
        <v>420</v>
      </c>
      <c r="I505" s="553"/>
      <c r="J505" s="554">
        <v>15</v>
      </c>
      <c r="K505" s="452"/>
      <c r="L505" s="82"/>
      <c r="M505" s="82"/>
      <c r="N505" s="82"/>
      <c r="O505" s="82"/>
      <c r="P505" s="82"/>
    </row>
    <row r="506" spans="1:17" ht="19.5" customHeight="1" x14ac:dyDescent="0.2">
      <c r="A506" s="444"/>
      <c r="B506" s="67" t="s">
        <v>37</v>
      </c>
      <c r="C506" s="138" t="s">
        <v>92</v>
      </c>
      <c r="D506" s="127">
        <v>0.83333333333333337</v>
      </c>
      <c r="E506" s="127">
        <v>0.91666666666666663</v>
      </c>
      <c r="F506" s="309" t="s">
        <v>402</v>
      </c>
      <c r="G506" s="264"/>
      <c r="H506" s="444"/>
      <c r="I506" s="444"/>
      <c r="J506" s="450"/>
      <c r="K506" s="453"/>
      <c r="L506" s="82"/>
      <c r="M506" s="82"/>
      <c r="N506" s="82"/>
      <c r="O506" s="82"/>
      <c r="P506" s="82"/>
    </row>
    <row r="507" spans="1:17" ht="19.5" customHeight="1" x14ac:dyDescent="0.2">
      <c r="A507" s="98"/>
      <c r="B507" s="184"/>
      <c r="C507" s="185"/>
      <c r="D507" s="209"/>
      <c r="E507" s="209"/>
      <c r="F507" s="284"/>
      <c r="G507" s="284"/>
      <c r="H507" s="98"/>
      <c r="I507" s="98"/>
      <c r="J507" s="98">
        <v>70</v>
      </c>
      <c r="K507" s="240"/>
      <c r="L507" s="82"/>
      <c r="M507" s="82"/>
      <c r="N507" s="82"/>
      <c r="O507" s="82"/>
      <c r="P507" s="82"/>
    </row>
    <row r="508" spans="1:17" ht="19.5" customHeight="1" x14ac:dyDescent="0.2">
      <c r="A508" s="82"/>
      <c r="B508" s="82"/>
      <c r="C508" s="82"/>
      <c r="D508" s="82"/>
      <c r="E508" s="82"/>
      <c r="F508" s="117"/>
      <c r="G508" s="117"/>
      <c r="H508" s="82"/>
      <c r="I508" s="82"/>
      <c r="J508" s="117"/>
      <c r="K508" s="117"/>
      <c r="L508" s="82"/>
      <c r="M508" s="82"/>
      <c r="N508" s="82"/>
      <c r="O508" s="82"/>
      <c r="P508" s="82"/>
    </row>
    <row r="509" spans="1:17" ht="19.5" customHeight="1" x14ac:dyDescent="0.2">
      <c r="A509" s="131" t="s">
        <v>6</v>
      </c>
      <c r="B509" s="121">
        <v>2018</v>
      </c>
      <c r="C509" s="131" t="s">
        <v>7</v>
      </c>
      <c r="D509" s="122" t="s">
        <v>241</v>
      </c>
      <c r="E509" s="131" t="s">
        <v>9</v>
      </c>
      <c r="F509" s="123" t="s">
        <v>242</v>
      </c>
      <c r="G509" s="120" t="s">
        <v>11</v>
      </c>
      <c r="H509" s="121">
        <v>3</v>
      </c>
      <c r="I509" s="131" t="s">
        <v>12</v>
      </c>
      <c r="J509" s="121" t="s">
        <v>230</v>
      </c>
      <c r="K509" s="117"/>
      <c r="L509" s="82"/>
      <c r="M509" s="82"/>
      <c r="N509" s="82"/>
      <c r="O509" s="82"/>
      <c r="P509" s="82"/>
    </row>
    <row r="510" spans="1:17" ht="19.5" customHeight="1" x14ac:dyDescent="0.2">
      <c r="A510" s="92" t="s">
        <v>16</v>
      </c>
      <c r="B510" s="93" t="s">
        <v>17</v>
      </c>
      <c r="C510" s="93" t="s">
        <v>18</v>
      </c>
      <c r="D510" s="454" t="s">
        <v>19</v>
      </c>
      <c r="E510" s="455"/>
      <c r="F510" s="94" t="s">
        <v>20</v>
      </c>
      <c r="G510" s="94"/>
      <c r="H510" s="93" t="s">
        <v>21</v>
      </c>
      <c r="I510" s="93" t="s">
        <v>22</v>
      </c>
      <c r="J510" s="94" t="s">
        <v>23</v>
      </c>
      <c r="K510" s="117"/>
      <c r="L510" s="82"/>
      <c r="M510" s="82"/>
      <c r="N510" s="82"/>
      <c r="O510" s="82"/>
      <c r="P510" s="82"/>
    </row>
    <row r="511" spans="1:17" ht="19.5" customHeight="1" x14ac:dyDescent="0.2">
      <c r="A511" s="465" t="s">
        <v>24</v>
      </c>
      <c r="B511" s="125" t="s">
        <v>17</v>
      </c>
      <c r="C511" s="126" t="s">
        <v>122</v>
      </c>
      <c r="D511" s="133">
        <v>0.58333333333333337</v>
      </c>
      <c r="E511" s="133">
        <v>0.66666666666666663</v>
      </c>
      <c r="F511" s="324" t="s">
        <v>134</v>
      </c>
      <c r="G511" s="129"/>
      <c r="H511" s="449">
        <v>30</v>
      </c>
      <c r="I511" s="440"/>
      <c r="J511" s="451">
        <f>SUM(H511:I511)</f>
        <v>30</v>
      </c>
      <c r="K511" s="452"/>
      <c r="L511" s="82"/>
      <c r="M511" s="82"/>
      <c r="N511" s="82"/>
      <c r="O511" s="82"/>
      <c r="P511" s="82"/>
    </row>
    <row r="512" spans="1:17" ht="19.5" customHeight="1" x14ac:dyDescent="0.2">
      <c r="A512" s="444"/>
      <c r="B512" s="125" t="s">
        <v>37</v>
      </c>
      <c r="C512" s="126" t="s">
        <v>122</v>
      </c>
      <c r="D512" s="133">
        <v>0.66666666666666663</v>
      </c>
      <c r="E512" s="133">
        <v>0.75</v>
      </c>
      <c r="F512" s="324" t="s">
        <v>134</v>
      </c>
      <c r="G512" s="129"/>
      <c r="H512" s="450"/>
      <c r="I512" s="450"/>
      <c r="J512" s="450"/>
      <c r="K512" s="453"/>
      <c r="L512" s="82"/>
      <c r="M512" s="82"/>
      <c r="N512" s="82"/>
      <c r="O512" s="82"/>
      <c r="P512" s="82"/>
    </row>
    <row r="513" spans="1:16" ht="19.5" customHeight="1" x14ac:dyDescent="0.2">
      <c r="A513" s="465" t="s">
        <v>27</v>
      </c>
      <c r="B513" s="125" t="s">
        <v>17</v>
      </c>
      <c r="C513" s="126" t="s">
        <v>122</v>
      </c>
      <c r="D513" s="133">
        <v>0.58333333333333337</v>
      </c>
      <c r="E513" s="133">
        <v>0.66666666666666663</v>
      </c>
      <c r="F513" s="383" t="s">
        <v>411</v>
      </c>
      <c r="G513" s="129"/>
      <c r="H513" s="449">
        <v>30</v>
      </c>
      <c r="I513" s="440"/>
      <c r="J513" s="451">
        <f>SUM(H513:I513)</f>
        <v>30</v>
      </c>
      <c r="K513" s="452"/>
      <c r="L513" s="380"/>
      <c r="M513" s="82"/>
      <c r="N513" s="82"/>
      <c r="O513" s="82"/>
      <c r="P513" s="82"/>
    </row>
    <row r="514" spans="1:16" ht="19.5" customHeight="1" x14ac:dyDescent="0.2">
      <c r="A514" s="444"/>
      <c r="B514" s="125" t="s">
        <v>37</v>
      </c>
      <c r="C514" s="126" t="s">
        <v>122</v>
      </c>
      <c r="D514" s="133">
        <v>0.66666666666666663</v>
      </c>
      <c r="E514" s="133">
        <v>0.75</v>
      </c>
      <c r="F514" s="383"/>
      <c r="G514" s="129"/>
      <c r="H514" s="450"/>
      <c r="I514" s="450"/>
      <c r="J514" s="450"/>
      <c r="K514" s="453"/>
      <c r="L514" s="82"/>
      <c r="M514" s="82"/>
      <c r="N514" s="82"/>
      <c r="O514" s="82"/>
      <c r="P514" s="82"/>
    </row>
    <row r="515" spans="1:16" ht="19.5" customHeight="1" x14ac:dyDescent="0.2">
      <c r="A515" s="465" t="s">
        <v>28</v>
      </c>
      <c r="B515" s="125" t="s">
        <v>17</v>
      </c>
      <c r="C515" s="126" t="s">
        <v>122</v>
      </c>
      <c r="D515" s="133">
        <v>0.58333333333333337</v>
      </c>
      <c r="E515" s="133">
        <v>0.66666666666666663</v>
      </c>
      <c r="F515" s="129"/>
      <c r="G515" s="129"/>
      <c r="H515" s="449">
        <v>30</v>
      </c>
      <c r="I515" s="440"/>
      <c r="J515" s="451">
        <f>SUM(H515:I515)</f>
        <v>30</v>
      </c>
      <c r="K515" s="452"/>
      <c r="L515" s="82"/>
      <c r="M515" s="82"/>
      <c r="N515" s="82"/>
      <c r="O515" s="82"/>
      <c r="P515" s="82"/>
    </row>
    <row r="516" spans="1:16" ht="19.5" customHeight="1" x14ac:dyDescent="0.2">
      <c r="A516" s="444"/>
      <c r="B516" s="125" t="s">
        <v>37</v>
      </c>
      <c r="C516" s="126" t="s">
        <v>122</v>
      </c>
      <c r="D516" s="133">
        <v>0.66666666666666663</v>
      </c>
      <c r="E516" s="133">
        <v>0.75</v>
      </c>
      <c r="F516" s="262"/>
      <c r="G516" s="129"/>
      <c r="H516" s="450"/>
      <c r="I516" s="450"/>
      <c r="J516" s="450"/>
      <c r="K516" s="453"/>
      <c r="L516" s="82"/>
      <c r="M516" s="82"/>
      <c r="N516" s="82"/>
      <c r="O516" s="82"/>
      <c r="P516" s="82"/>
    </row>
    <row r="517" spans="1:16" ht="19.5" customHeight="1" x14ac:dyDescent="0.2">
      <c r="A517" s="98"/>
      <c r="B517" s="80"/>
      <c r="C517" s="117"/>
      <c r="D517" s="151"/>
      <c r="E517" s="151"/>
      <c r="F517" s="268"/>
      <c r="G517" s="268"/>
      <c r="H517" s="98"/>
      <c r="I517" s="98"/>
      <c r="J517" s="98">
        <v>90</v>
      </c>
      <c r="K517" s="240"/>
      <c r="L517" s="82"/>
      <c r="M517" s="82"/>
      <c r="N517" s="82"/>
      <c r="O517" s="82"/>
      <c r="P517" s="82"/>
    </row>
    <row r="518" spans="1:16" ht="19.5" customHeight="1" x14ac:dyDescent="0.2">
      <c r="A518" s="82"/>
      <c r="B518" s="82"/>
      <c r="C518" s="82"/>
      <c r="D518" s="82"/>
      <c r="E518" s="82"/>
      <c r="F518" s="268"/>
      <c r="G518" s="117"/>
      <c r="H518" s="82"/>
      <c r="I518" s="82"/>
      <c r="J518" s="117"/>
      <c r="K518" s="117"/>
      <c r="L518" s="82"/>
      <c r="M518" s="82"/>
      <c r="N518" s="82"/>
      <c r="O518" s="82"/>
      <c r="P518" s="82"/>
    </row>
    <row r="519" spans="1:16" ht="19.5" customHeight="1" x14ac:dyDescent="0.2">
      <c r="A519" s="131" t="s">
        <v>6</v>
      </c>
      <c r="B519" s="121">
        <v>2018</v>
      </c>
      <c r="C519" s="131" t="s">
        <v>7</v>
      </c>
      <c r="D519" s="122" t="s">
        <v>243</v>
      </c>
      <c r="E519" s="131" t="s">
        <v>9</v>
      </c>
      <c r="F519" s="241" t="s">
        <v>244</v>
      </c>
      <c r="G519" s="120" t="s">
        <v>11</v>
      </c>
      <c r="H519" s="121">
        <v>3</v>
      </c>
      <c r="I519" s="131" t="s">
        <v>12</v>
      </c>
      <c r="J519" s="121" t="s">
        <v>245</v>
      </c>
      <c r="K519" s="117"/>
      <c r="L519" s="82"/>
      <c r="M519" s="82"/>
      <c r="N519" s="82"/>
      <c r="O519" s="82"/>
      <c r="P519" s="82"/>
    </row>
    <row r="520" spans="1:16" ht="19.5" customHeight="1" x14ac:dyDescent="0.2">
      <c r="A520" s="92" t="s">
        <v>16</v>
      </c>
      <c r="B520" s="93" t="s">
        <v>17</v>
      </c>
      <c r="C520" s="93" t="s">
        <v>18</v>
      </c>
      <c r="D520" s="454" t="s">
        <v>19</v>
      </c>
      <c r="E520" s="455"/>
      <c r="F520" s="94" t="s">
        <v>20</v>
      </c>
      <c r="G520" s="94"/>
      <c r="H520" s="93" t="s">
        <v>21</v>
      </c>
      <c r="I520" s="93" t="s">
        <v>22</v>
      </c>
      <c r="J520" s="94" t="s">
        <v>23</v>
      </c>
      <c r="K520" s="117"/>
      <c r="L520" s="82"/>
      <c r="M520" s="82"/>
      <c r="N520" s="82"/>
      <c r="O520" s="82"/>
      <c r="P520" s="82"/>
    </row>
    <row r="521" spans="1:16" ht="19.5" customHeight="1" x14ac:dyDescent="0.2">
      <c r="A521" s="465" t="s">
        <v>24</v>
      </c>
      <c r="B521" s="125" t="s">
        <v>17</v>
      </c>
      <c r="C521" s="126" t="s">
        <v>48</v>
      </c>
      <c r="D521" s="133">
        <v>0.75</v>
      </c>
      <c r="E521" s="133">
        <v>0.83333333333333337</v>
      </c>
      <c r="F521" s="300" t="s">
        <v>197</v>
      </c>
      <c r="G521" s="129"/>
      <c r="H521" s="449" t="s">
        <v>428</v>
      </c>
      <c r="I521" s="440"/>
      <c r="J521" s="451">
        <f>SUM(H521:I521)</f>
        <v>0</v>
      </c>
      <c r="K521" s="452"/>
      <c r="L521" s="694" t="s">
        <v>422</v>
      </c>
      <c r="M521" s="694"/>
      <c r="N521" s="82"/>
      <c r="O521" s="82"/>
      <c r="P521" s="82"/>
    </row>
    <row r="522" spans="1:16" ht="19.5" customHeight="1" x14ac:dyDescent="0.2">
      <c r="A522" s="444"/>
      <c r="B522" s="125" t="s">
        <v>26</v>
      </c>
      <c r="C522" s="126" t="s">
        <v>48</v>
      </c>
      <c r="D522" s="133">
        <v>0.83333333333333337</v>
      </c>
      <c r="E522" s="133">
        <v>0.91666666666666663</v>
      </c>
      <c r="F522" s="300" t="s">
        <v>197</v>
      </c>
      <c r="G522" s="129"/>
      <c r="H522" s="450"/>
      <c r="I522" s="450"/>
      <c r="J522" s="450"/>
      <c r="K522" s="453"/>
      <c r="L522" s="82"/>
      <c r="M522" s="82"/>
      <c r="N522" s="82"/>
      <c r="O522" s="82"/>
      <c r="P522" s="82"/>
    </row>
    <row r="523" spans="1:16" ht="19.5" customHeight="1" x14ac:dyDescent="0.2">
      <c r="A523" s="465" t="s">
        <v>27</v>
      </c>
      <c r="B523" s="125" t="s">
        <v>17</v>
      </c>
      <c r="C523" s="126" t="s">
        <v>48</v>
      </c>
      <c r="D523" s="133">
        <v>0.75</v>
      </c>
      <c r="E523" s="133">
        <v>0.83333333333333337</v>
      </c>
      <c r="F523" s="300" t="s">
        <v>209</v>
      </c>
      <c r="G523" s="129"/>
      <c r="H523" s="449" t="s">
        <v>428</v>
      </c>
      <c r="I523" s="440"/>
      <c r="J523" s="451">
        <f>SUM(H523:I523)</f>
        <v>0</v>
      </c>
      <c r="K523" s="452"/>
      <c r="L523" s="82"/>
      <c r="M523" s="82"/>
      <c r="N523" s="82"/>
      <c r="O523" s="82"/>
      <c r="P523" s="82"/>
    </row>
    <row r="524" spans="1:16" ht="19.5" customHeight="1" x14ac:dyDescent="0.2">
      <c r="A524" s="444"/>
      <c r="B524" s="125" t="s">
        <v>26</v>
      </c>
      <c r="C524" s="126" t="s">
        <v>48</v>
      </c>
      <c r="D524" s="133">
        <v>0.83333333333333337</v>
      </c>
      <c r="E524" s="133">
        <v>0.91666666666666663</v>
      </c>
      <c r="F524" s="300" t="s">
        <v>209</v>
      </c>
      <c r="G524" s="129"/>
      <c r="H524" s="450"/>
      <c r="I524" s="450"/>
      <c r="J524" s="450"/>
      <c r="K524" s="453"/>
      <c r="L524" s="82"/>
      <c r="M524" s="82"/>
      <c r="N524" s="82"/>
      <c r="O524" s="82"/>
      <c r="P524" s="82"/>
    </row>
    <row r="525" spans="1:16" ht="19.5" customHeight="1" x14ac:dyDescent="0.2">
      <c r="A525" s="98"/>
      <c r="B525" s="80"/>
      <c r="C525" s="117"/>
      <c r="D525" s="151"/>
      <c r="E525" s="151"/>
      <c r="F525" s="302"/>
      <c r="G525" s="268"/>
      <c r="H525" s="98"/>
      <c r="I525" s="98"/>
      <c r="J525" s="98">
        <v>80</v>
      </c>
      <c r="K525" s="240"/>
      <c r="L525" s="82"/>
      <c r="M525" s="82"/>
      <c r="N525" s="82"/>
      <c r="O525" s="82"/>
      <c r="P525" s="82"/>
    </row>
    <row r="526" spans="1:16" ht="19.5" customHeight="1" x14ac:dyDescent="0.2">
      <c r="A526" s="82"/>
      <c r="B526" s="82"/>
      <c r="C526" s="82"/>
      <c r="D526" s="82"/>
      <c r="E526" s="82"/>
      <c r="F526" s="117"/>
      <c r="G526" s="117"/>
      <c r="H526" s="82"/>
      <c r="I526" s="82"/>
      <c r="J526" s="117"/>
      <c r="K526" s="117"/>
      <c r="L526" s="82"/>
      <c r="M526" s="82"/>
      <c r="N526" s="82"/>
      <c r="O526" s="82"/>
      <c r="P526" s="82"/>
    </row>
    <row r="527" spans="1:16" ht="19.5" customHeight="1" x14ac:dyDescent="0.2">
      <c r="A527" s="131" t="s">
        <v>6</v>
      </c>
      <c r="B527" s="121">
        <v>2018</v>
      </c>
      <c r="C527" s="131" t="s">
        <v>7</v>
      </c>
      <c r="D527" s="122" t="s">
        <v>246</v>
      </c>
      <c r="E527" s="131" t="s">
        <v>9</v>
      </c>
      <c r="F527" s="123" t="s">
        <v>247</v>
      </c>
      <c r="G527" s="120" t="s">
        <v>11</v>
      </c>
      <c r="H527" s="121">
        <v>3</v>
      </c>
      <c r="I527" s="131" t="s">
        <v>12</v>
      </c>
      <c r="J527" s="121" t="s">
        <v>248</v>
      </c>
      <c r="K527" s="117"/>
      <c r="L527" s="82"/>
      <c r="M527" s="82"/>
      <c r="N527" s="82"/>
      <c r="O527" s="82"/>
      <c r="P527" s="82"/>
    </row>
    <row r="528" spans="1:16" ht="19.5" customHeight="1" x14ac:dyDescent="0.2">
      <c r="A528" s="92" t="s">
        <v>16</v>
      </c>
      <c r="B528" s="93" t="s">
        <v>17</v>
      </c>
      <c r="C528" s="93" t="s">
        <v>18</v>
      </c>
      <c r="D528" s="454" t="s">
        <v>19</v>
      </c>
      <c r="E528" s="455"/>
      <c r="F528" s="94" t="s">
        <v>20</v>
      </c>
      <c r="G528" s="94"/>
      <c r="H528" s="93" t="s">
        <v>21</v>
      </c>
      <c r="I528" s="93" t="s">
        <v>22</v>
      </c>
      <c r="J528" s="94" t="s">
        <v>23</v>
      </c>
      <c r="K528" s="117"/>
      <c r="L528" s="82"/>
      <c r="M528" s="82"/>
      <c r="N528" s="82"/>
      <c r="O528" s="82"/>
      <c r="P528" s="82"/>
    </row>
    <row r="529" spans="1:16" ht="19.5" customHeight="1" x14ac:dyDescent="0.2">
      <c r="A529" s="465" t="s">
        <v>24</v>
      </c>
      <c r="B529" s="125" t="s">
        <v>17</v>
      </c>
      <c r="C529" s="126" t="s">
        <v>44</v>
      </c>
      <c r="D529" s="127">
        <v>0.75</v>
      </c>
      <c r="E529" s="127">
        <v>0.83333333333333337</v>
      </c>
      <c r="F529" s="305" t="s">
        <v>399</v>
      </c>
      <c r="G529" s="272"/>
      <c r="H529" s="449">
        <v>40</v>
      </c>
      <c r="I529" s="440"/>
      <c r="J529" s="451">
        <f>SUM(H529:I529)</f>
        <v>40</v>
      </c>
      <c r="K529" s="452"/>
      <c r="L529" s="82"/>
      <c r="M529" s="82"/>
      <c r="N529" s="82"/>
      <c r="O529" s="82"/>
      <c r="P529" s="82"/>
    </row>
    <row r="530" spans="1:16" ht="19.5" customHeight="1" x14ac:dyDescent="0.2">
      <c r="A530" s="444"/>
      <c r="B530" s="125" t="s">
        <v>37</v>
      </c>
      <c r="C530" s="126" t="s">
        <v>44</v>
      </c>
      <c r="D530" s="127">
        <v>0.83333333333333337</v>
      </c>
      <c r="E530" s="127">
        <v>0.91666666666666663</v>
      </c>
      <c r="F530" s="305" t="s">
        <v>399</v>
      </c>
      <c r="G530" s="272"/>
      <c r="H530" s="450"/>
      <c r="I530" s="450"/>
      <c r="J530" s="450"/>
      <c r="K530" s="453"/>
      <c r="L530" s="82"/>
      <c r="M530" s="82"/>
      <c r="N530" s="82"/>
      <c r="O530" s="82"/>
      <c r="P530" s="82"/>
    </row>
    <row r="531" spans="1:16" ht="19.5" customHeight="1" x14ac:dyDescent="0.2">
      <c r="A531" s="465" t="s">
        <v>27</v>
      </c>
      <c r="B531" s="125" t="s">
        <v>17</v>
      </c>
      <c r="C531" s="126" t="s">
        <v>44</v>
      </c>
      <c r="D531" s="127">
        <v>0.75</v>
      </c>
      <c r="E531" s="127">
        <v>0.83333333333333337</v>
      </c>
      <c r="F531" s="305" t="s">
        <v>402</v>
      </c>
      <c r="G531" s="272"/>
      <c r="H531" s="449">
        <v>40</v>
      </c>
      <c r="I531" s="440"/>
      <c r="J531" s="451">
        <f>SUM(H531:I531)</f>
        <v>40</v>
      </c>
      <c r="K531" s="452"/>
      <c r="L531" s="82"/>
      <c r="M531" s="82"/>
      <c r="N531" s="82"/>
      <c r="O531" s="82"/>
      <c r="P531" s="82"/>
    </row>
    <row r="532" spans="1:16" ht="19.5" customHeight="1" x14ac:dyDescent="0.2">
      <c r="A532" s="444"/>
      <c r="B532" s="125" t="s">
        <v>37</v>
      </c>
      <c r="C532" s="126" t="s">
        <v>44</v>
      </c>
      <c r="D532" s="127">
        <v>0.83333333333333337</v>
      </c>
      <c r="E532" s="127">
        <v>0.91666666666666663</v>
      </c>
      <c r="F532" s="305" t="s">
        <v>402</v>
      </c>
      <c r="G532" s="272"/>
      <c r="H532" s="450"/>
      <c r="I532" s="450"/>
      <c r="J532" s="450"/>
      <c r="K532" s="453"/>
      <c r="L532" s="82"/>
      <c r="M532" s="82"/>
      <c r="N532" s="82"/>
      <c r="O532" s="82"/>
      <c r="P532" s="82"/>
    </row>
    <row r="533" spans="1:16" ht="19.5" customHeight="1" x14ac:dyDescent="0.2">
      <c r="A533" s="98"/>
      <c r="B533" s="80"/>
      <c r="C533" s="117"/>
      <c r="D533" s="209"/>
      <c r="E533" s="209"/>
      <c r="F533" s="302"/>
      <c r="G533" s="273"/>
      <c r="H533" s="98"/>
      <c r="I533" s="98"/>
      <c r="J533" s="98">
        <v>80</v>
      </c>
      <c r="K533" s="240"/>
      <c r="L533" s="82"/>
      <c r="M533" s="82"/>
      <c r="N533" s="82"/>
      <c r="O533" s="82"/>
      <c r="P533" s="82"/>
    </row>
    <row r="534" spans="1:16" ht="19.5" customHeight="1" x14ac:dyDescent="0.2">
      <c r="A534" s="82"/>
      <c r="B534" s="82"/>
      <c r="C534" s="82"/>
      <c r="D534" s="82"/>
      <c r="E534" s="82"/>
      <c r="F534" s="117"/>
      <c r="G534" s="117"/>
      <c r="H534" s="82"/>
      <c r="I534" s="82"/>
      <c r="J534" s="117"/>
      <c r="K534" s="117"/>
      <c r="L534" s="82"/>
      <c r="M534" s="82"/>
      <c r="N534" s="82"/>
      <c r="O534" s="82"/>
      <c r="P534" s="82"/>
    </row>
    <row r="535" spans="1:16" ht="19.5" customHeight="1" x14ac:dyDescent="0.2">
      <c r="A535" s="131" t="s">
        <v>6</v>
      </c>
      <c r="B535" s="121">
        <v>2018</v>
      </c>
      <c r="C535" s="131" t="s">
        <v>7</v>
      </c>
      <c r="D535" s="122" t="s">
        <v>249</v>
      </c>
      <c r="E535" s="131" t="s">
        <v>9</v>
      </c>
      <c r="F535" s="123" t="s">
        <v>250</v>
      </c>
      <c r="G535" s="120" t="s">
        <v>11</v>
      </c>
      <c r="H535" s="121">
        <v>3</v>
      </c>
      <c r="I535" s="131" t="s">
        <v>12</v>
      </c>
      <c r="J535" s="121" t="s">
        <v>245</v>
      </c>
      <c r="K535" s="117"/>
      <c r="L535" s="82"/>
      <c r="M535" s="82"/>
      <c r="N535" s="82"/>
      <c r="O535" s="82"/>
      <c r="P535" s="82"/>
    </row>
    <row r="536" spans="1:16" ht="19.5" customHeight="1" x14ac:dyDescent="0.2">
      <c r="A536" s="92" t="s">
        <v>16</v>
      </c>
      <c r="B536" s="93" t="s">
        <v>17</v>
      </c>
      <c r="C536" s="93" t="s">
        <v>18</v>
      </c>
      <c r="D536" s="454" t="s">
        <v>19</v>
      </c>
      <c r="E536" s="455"/>
      <c r="F536" s="94" t="s">
        <v>20</v>
      </c>
      <c r="G536" s="94"/>
      <c r="H536" s="93" t="s">
        <v>21</v>
      </c>
      <c r="I536" s="93" t="s">
        <v>22</v>
      </c>
      <c r="J536" s="94" t="s">
        <v>23</v>
      </c>
      <c r="K536" s="117"/>
      <c r="L536" s="82"/>
      <c r="M536" s="82"/>
      <c r="N536" s="82"/>
      <c r="O536" s="82"/>
      <c r="P536" s="82"/>
    </row>
    <row r="537" spans="1:16" ht="19.5" customHeight="1" x14ac:dyDescent="0.2">
      <c r="A537" s="465" t="s">
        <v>24</v>
      </c>
      <c r="B537" s="125" t="s">
        <v>17</v>
      </c>
      <c r="C537" s="126" t="s">
        <v>32</v>
      </c>
      <c r="D537" s="127">
        <v>0.75</v>
      </c>
      <c r="E537" s="127">
        <v>0.83333333333333337</v>
      </c>
      <c r="F537" s="300" t="s">
        <v>197</v>
      </c>
      <c r="G537" s="129"/>
      <c r="H537" s="449">
        <v>30</v>
      </c>
      <c r="I537" s="440"/>
      <c r="J537" s="451">
        <f>SUM(H537:I537)</f>
        <v>30</v>
      </c>
      <c r="K537" s="452"/>
      <c r="L537" s="82"/>
      <c r="M537" s="82"/>
      <c r="N537" s="82"/>
      <c r="O537" s="82"/>
      <c r="P537" s="82"/>
    </row>
    <row r="538" spans="1:16" ht="19.5" customHeight="1" x14ac:dyDescent="0.2">
      <c r="A538" s="444"/>
      <c r="B538" s="125" t="s">
        <v>37</v>
      </c>
      <c r="C538" s="126" t="s">
        <v>32</v>
      </c>
      <c r="D538" s="127">
        <v>0.83333333333333337</v>
      </c>
      <c r="E538" s="127">
        <v>0.91666666666666663</v>
      </c>
      <c r="F538" s="300" t="s">
        <v>197</v>
      </c>
      <c r="G538" s="129"/>
      <c r="H538" s="450"/>
      <c r="I538" s="450"/>
      <c r="J538" s="450"/>
      <c r="K538" s="453"/>
      <c r="L538" s="82"/>
      <c r="M538" s="82"/>
      <c r="N538" s="82"/>
      <c r="O538" s="82"/>
      <c r="P538" s="82"/>
    </row>
    <row r="539" spans="1:16" ht="19.5" customHeight="1" x14ac:dyDescent="0.2">
      <c r="A539" s="465" t="s">
        <v>27</v>
      </c>
      <c r="B539" s="125" t="s">
        <v>17</v>
      </c>
      <c r="C539" s="126" t="s">
        <v>32</v>
      </c>
      <c r="D539" s="127">
        <v>0.75</v>
      </c>
      <c r="E539" s="127">
        <v>0.83333333333333337</v>
      </c>
      <c r="F539" s="300" t="s">
        <v>207</v>
      </c>
      <c r="G539" s="129"/>
      <c r="H539" s="449">
        <v>30</v>
      </c>
      <c r="I539" s="440"/>
      <c r="J539" s="451">
        <f>SUM(H539:I539)</f>
        <v>30</v>
      </c>
      <c r="K539" s="452"/>
      <c r="L539" s="82"/>
      <c r="M539" s="82"/>
      <c r="N539" s="82"/>
      <c r="O539" s="82"/>
      <c r="P539" s="82"/>
    </row>
    <row r="540" spans="1:16" ht="19.5" customHeight="1" x14ac:dyDescent="0.2">
      <c r="A540" s="444"/>
      <c r="B540" s="125" t="s">
        <v>37</v>
      </c>
      <c r="C540" s="126" t="s">
        <v>32</v>
      </c>
      <c r="D540" s="127">
        <v>0.83333333333333337</v>
      </c>
      <c r="E540" s="127">
        <v>0.91666666666666663</v>
      </c>
      <c r="F540" s="300" t="s">
        <v>207</v>
      </c>
      <c r="G540" s="129"/>
      <c r="H540" s="450"/>
      <c r="I540" s="450"/>
      <c r="J540" s="450"/>
      <c r="K540" s="453"/>
      <c r="L540" s="82"/>
      <c r="M540" s="82"/>
      <c r="N540" s="82"/>
      <c r="O540" s="82"/>
      <c r="P540" s="82"/>
    </row>
    <row r="541" spans="1:16" ht="19.5" customHeight="1" x14ac:dyDescent="0.2">
      <c r="A541" s="465" t="s">
        <v>28</v>
      </c>
      <c r="B541" s="125" t="s">
        <v>17</v>
      </c>
      <c r="C541" s="126" t="s">
        <v>32</v>
      </c>
      <c r="D541" s="127">
        <v>0.75</v>
      </c>
      <c r="E541" s="127">
        <v>0.83333333333333337</v>
      </c>
      <c r="F541" s="305" t="s">
        <v>403</v>
      </c>
      <c r="G541" s="129"/>
      <c r="H541" s="449">
        <v>30</v>
      </c>
      <c r="I541" s="440"/>
      <c r="J541" s="451">
        <f>SUM(H541:I541)</f>
        <v>30</v>
      </c>
      <c r="K541" s="452"/>
      <c r="L541" s="82"/>
      <c r="M541" s="82"/>
      <c r="N541" s="82"/>
      <c r="O541" s="82"/>
      <c r="P541" s="82"/>
    </row>
    <row r="542" spans="1:16" ht="19.5" customHeight="1" x14ac:dyDescent="0.2">
      <c r="A542" s="444"/>
      <c r="B542" s="125" t="s">
        <v>37</v>
      </c>
      <c r="C542" s="126" t="s">
        <v>32</v>
      </c>
      <c r="D542" s="127">
        <v>0.83333333333333337</v>
      </c>
      <c r="E542" s="127">
        <v>0.91666666666666663</v>
      </c>
      <c r="F542" s="305" t="s">
        <v>403</v>
      </c>
      <c r="G542" s="129"/>
      <c r="H542" s="450"/>
      <c r="I542" s="450"/>
      <c r="J542" s="450"/>
      <c r="K542" s="453"/>
      <c r="L542" s="82"/>
      <c r="M542" s="82"/>
      <c r="N542" s="82"/>
      <c r="O542" s="82"/>
      <c r="P542" s="82"/>
    </row>
    <row r="543" spans="1:16" ht="19.5" customHeight="1" x14ac:dyDescent="0.2">
      <c r="A543" s="98"/>
      <c r="B543" s="80"/>
      <c r="C543" s="117"/>
      <c r="D543" s="209"/>
      <c r="E543" s="209"/>
      <c r="F543" s="302"/>
      <c r="G543" s="268"/>
      <c r="H543" s="98"/>
      <c r="I543" s="98"/>
      <c r="J543" s="98">
        <v>90</v>
      </c>
      <c r="K543" s="240"/>
      <c r="L543" s="82"/>
      <c r="M543" s="82"/>
      <c r="N543" s="82"/>
      <c r="O543" s="82"/>
      <c r="P543" s="82"/>
    </row>
    <row r="544" spans="1:16" ht="19.5" customHeight="1" x14ac:dyDescent="0.2">
      <c r="A544" s="82"/>
      <c r="B544" s="82"/>
      <c r="C544" s="82"/>
      <c r="D544" s="82"/>
      <c r="E544" s="82"/>
      <c r="F544" s="117"/>
      <c r="G544" s="117"/>
      <c r="H544" s="82"/>
      <c r="I544" s="82"/>
      <c r="J544" s="117"/>
      <c r="K544" s="117"/>
      <c r="L544" s="82"/>
      <c r="M544" s="82"/>
      <c r="N544" s="82"/>
      <c r="O544" s="82"/>
      <c r="P544" s="82"/>
    </row>
    <row r="545" spans="1:16" ht="19.5" customHeight="1" x14ac:dyDescent="0.2">
      <c r="A545" s="131" t="s">
        <v>6</v>
      </c>
      <c r="B545" s="121">
        <v>2018</v>
      </c>
      <c r="C545" s="131" t="s">
        <v>7</v>
      </c>
      <c r="D545" s="122" t="s">
        <v>251</v>
      </c>
      <c r="E545" s="131" t="s">
        <v>9</v>
      </c>
      <c r="F545" s="123" t="s">
        <v>252</v>
      </c>
      <c r="G545" s="120" t="s">
        <v>11</v>
      </c>
      <c r="H545" s="121">
        <v>3</v>
      </c>
      <c r="I545" s="131" t="s">
        <v>12</v>
      </c>
      <c r="J545" s="121" t="s">
        <v>211</v>
      </c>
      <c r="K545" s="117"/>
      <c r="L545" s="82"/>
      <c r="M545" s="82"/>
      <c r="N545" s="82"/>
      <c r="O545" s="82"/>
      <c r="P545" s="82"/>
    </row>
    <row r="546" spans="1:16" ht="19.5" customHeight="1" x14ac:dyDescent="0.2">
      <c r="A546" s="92" t="s">
        <v>16</v>
      </c>
      <c r="B546" s="93" t="s">
        <v>17</v>
      </c>
      <c r="C546" s="93" t="s">
        <v>18</v>
      </c>
      <c r="D546" s="454" t="s">
        <v>19</v>
      </c>
      <c r="E546" s="455"/>
      <c r="F546" s="94" t="s">
        <v>20</v>
      </c>
      <c r="G546" s="94"/>
      <c r="H546" s="93" t="s">
        <v>21</v>
      </c>
      <c r="I546" s="93" t="s">
        <v>22</v>
      </c>
      <c r="J546" s="94" t="s">
        <v>23</v>
      </c>
      <c r="K546" s="117"/>
      <c r="L546" s="82"/>
      <c r="M546" s="82"/>
      <c r="N546" s="82"/>
      <c r="O546" s="82"/>
      <c r="P546" s="82"/>
    </row>
    <row r="547" spans="1:16" ht="19.5" customHeight="1" x14ac:dyDescent="0.2">
      <c r="A547" s="465" t="s">
        <v>24</v>
      </c>
      <c r="B547" s="125" t="s">
        <v>17</v>
      </c>
      <c r="C547" s="141" t="s">
        <v>25</v>
      </c>
      <c r="D547" s="242">
        <v>0.58333333333333337</v>
      </c>
      <c r="E547" s="242">
        <v>0.66666666666666663</v>
      </c>
      <c r="F547" s="305" t="s">
        <v>393</v>
      </c>
      <c r="G547" s="129"/>
      <c r="H547" s="449" t="s">
        <v>429</v>
      </c>
      <c r="I547" s="440"/>
      <c r="J547" s="451">
        <v>40</v>
      </c>
      <c r="K547" s="452"/>
      <c r="L547" s="720" t="s">
        <v>422</v>
      </c>
      <c r="M547" s="694"/>
      <c r="N547" s="82"/>
      <c r="O547" s="82"/>
      <c r="P547" s="82"/>
    </row>
    <row r="548" spans="1:16" ht="19.5" customHeight="1" x14ac:dyDescent="0.2">
      <c r="A548" s="444"/>
      <c r="B548" s="125" t="s">
        <v>37</v>
      </c>
      <c r="C548" s="141" t="s">
        <v>25</v>
      </c>
      <c r="D548" s="242">
        <v>0.66666666666666663</v>
      </c>
      <c r="E548" s="242">
        <v>0.75</v>
      </c>
      <c r="F548" s="305" t="s">
        <v>393</v>
      </c>
      <c r="G548" s="129"/>
      <c r="H548" s="450"/>
      <c r="I548" s="450"/>
      <c r="J548" s="450"/>
      <c r="K548" s="453"/>
      <c r="L548" s="82"/>
      <c r="M548" s="82"/>
      <c r="N548" s="82"/>
      <c r="O548" s="82"/>
      <c r="P548" s="82"/>
    </row>
    <row r="549" spans="1:16" ht="19.5" customHeight="1" x14ac:dyDescent="0.2">
      <c r="A549" s="465" t="s">
        <v>27</v>
      </c>
      <c r="B549" s="125" t="s">
        <v>17</v>
      </c>
      <c r="C549" s="141" t="s">
        <v>25</v>
      </c>
      <c r="D549" s="242">
        <v>0.58333333333333337</v>
      </c>
      <c r="E549" s="242">
        <v>0.66666666666666663</v>
      </c>
      <c r="F549" s="305" t="s">
        <v>394</v>
      </c>
      <c r="G549" s="129"/>
      <c r="H549" s="449" t="s">
        <v>429</v>
      </c>
      <c r="I549" s="440"/>
      <c r="J549" s="451">
        <v>40</v>
      </c>
      <c r="K549" s="452"/>
      <c r="L549" s="82"/>
      <c r="M549" s="82"/>
      <c r="N549" s="82"/>
      <c r="O549" s="82"/>
      <c r="P549" s="82"/>
    </row>
    <row r="550" spans="1:16" ht="19.5" customHeight="1" x14ac:dyDescent="0.2">
      <c r="A550" s="444"/>
      <c r="B550" s="125" t="s">
        <v>37</v>
      </c>
      <c r="C550" s="141" t="s">
        <v>25</v>
      </c>
      <c r="D550" s="242">
        <v>0.66666666666666663</v>
      </c>
      <c r="E550" s="242">
        <v>0.75</v>
      </c>
      <c r="F550" s="305" t="s">
        <v>394</v>
      </c>
      <c r="G550" s="129"/>
      <c r="H550" s="450"/>
      <c r="I550" s="450"/>
      <c r="J550" s="450"/>
      <c r="K550" s="453"/>
      <c r="L550" s="82"/>
      <c r="M550" s="82"/>
      <c r="N550" s="82"/>
      <c r="O550" s="82"/>
      <c r="P550" s="82"/>
    </row>
    <row r="551" spans="1:16" ht="19.5" customHeight="1" x14ac:dyDescent="0.2">
      <c r="A551" s="98"/>
      <c r="B551" s="80"/>
      <c r="C551" s="117"/>
      <c r="D551" s="209"/>
      <c r="E551" s="209"/>
      <c r="F551" s="302"/>
      <c r="G551" s="268"/>
      <c r="H551" s="98"/>
      <c r="I551" s="98"/>
      <c r="J551" s="98">
        <v>60</v>
      </c>
      <c r="K551" s="240"/>
      <c r="L551" s="82"/>
      <c r="M551" s="82"/>
      <c r="N551" s="82"/>
      <c r="O551" s="82"/>
      <c r="P551" s="82"/>
    </row>
    <row r="552" spans="1:16" ht="19.5" customHeight="1" x14ac:dyDescent="0.2">
      <c r="A552" s="82"/>
      <c r="B552" s="82"/>
      <c r="C552" s="82"/>
      <c r="D552" s="82"/>
      <c r="E552" s="82"/>
      <c r="F552" s="117"/>
      <c r="G552" s="117"/>
      <c r="H552" s="82"/>
      <c r="I552" s="82"/>
      <c r="J552" s="117"/>
      <c r="K552" s="117"/>
      <c r="L552" s="82"/>
      <c r="M552" s="82"/>
      <c r="N552" s="82"/>
      <c r="O552" s="82"/>
      <c r="P552" s="82"/>
    </row>
    <row r="553" spans="1:16" ht="19.5" customHeight="1" x14ac:dyDescent="0.2">
      <c r="A553" s="131" t="s">
        <v>6</v>
      </c>
      <c r="B553" s="121">
        <v>2018</v>
      </c>
      <c r="C553" s="131" t="s">
        <v>7</v>
      </c>
      <c r="D553" s="122" t="s">
        <v>253</v>
      </c>
      <c r="E553" s="131" t="s">
        <v>9</v>
      </c>
      <c r="F553" s="123" t="s">
        <v>254</v>
      </c>
      <c r="G553" s="120" t="s">
        <v>11</v>
      </c>
      <c r="H553" s="121">
        <v>3</v>
      </c>
      <c r="I553" s="131" t="s">
        <v>12</v>
      </c>
      <c r="J553" s="121" t="s">
        <v>255</v>
      </c>
      <c r="K553" s="294"/>
      <c r="L553" s="82"/>
      <c r="M553" s="82"/>
      <c r="N553" s="82"/>
      <c r="O553" s="82"/>
      <c r="P553" s="82"/>
    </row>
    <row r="554" spans="1:16" ht="19.5" customHeight="1" x14ac:dyDescent="0.2">
      <c r="A554" s="92" t="s">
        <v>16</v>
      </c>
      <c r="B554" s="93" t="s">
        <v>17</v>
      </c>
      <c r="C554" s="93" t="s">
        <v>18</v>
      </c>
      <c r="D554" s="454" t="s">
        <v>19</v>
      </c>
      <c r="E554" s="455"/>
      <c r="F554" s="94" t="s">
        <v>20</v>
      </c>
      <c r="G554" s="94"/>
      <c r="H554" s="93" t="s">
        <v>21</v>
      </c>
      <c r="I554" s="93" t="s">
        <v>22</v>
      </c>
      <c r="J554" s="94" t="s">
        <v>23</v>
      </c>
      <c r="K554" s="117"/>
      <c r="L554" s="82"/>
      <c r="M554" s="82"/>
      <c r="N554" s="82"/>
      <c r="O554" s="82"/>
      <c r="P554" s="82"/>
    </row>
    <row r="555" spans="1:16" ht="19.5" customHeight="1" x14ac:dyDescent="0.2">
      <c r="A555" s="470" t="s">
        <v>24</v>
      </c>
      <c r="B555" s="125" t="s">
        <v>17</v>
      </c>
      <c r="C555" s="126" t="s">
        <v>122</v>
      </c>
      <c r="D555" s="133">
        <v>0.33333333333333331</v>
      </c>
      <c r="E555" s="133">
        <v>0.41666666666666669</v>
      </c>
      <c r="F555" s="300" t="s">
        <v>185</v>
      </c>
      <c r="G555" s="129"/>
      <c r="H555" s="449" t="s">
        <v>429</v>
      </c>
      <c r="I555" s="440"/>
      <c r="J555" s="451">
        <v>40</v>
      </c>
      <c r="K555" s="452"/>
      <c r="L555" s="694" t="s">
        <v>422</v>
      </c>
      <c r="M555" s="694"/>
      <c r="N555" s="82"/>
      <c r="O555" s="82"/>
      <c r="P555" s="82"/>
    </row>
    <row r="556" spans="1:16" ht="19.5" customHeight="1" x14ac:dyDescent="0.2">
      <c r="A556" s="444"/>
      <c r="B556" s="125" t="s">
        <v>37</v>
      </c>
      <c r="C556" s="126" t="s">
        <v>122</v>
      </c>
      <c r="D556" s="133">
        <v>0.41666666666666669</v>
      </c>
      <c r="E556" s="133">
        <v>0.5</v>
      </c>
      <c r="F556" s="300" t="s">
        <v>185</v>
      </c>
      <c r="G556" s="129"/>
      <c r="H556" s="450"/>
      <c r="I556" s="450"/>
      <c r="J556" s="450"/>
      <c r="K556" s="453"/>
      <c r="L556" s="82"/>
      <c r="M556" s="82"/>
      <c r="N556" s="82"/>
      <c r="O556" s="82"/>
      <c r="P556" s="82"/>
    </row>
    <row r="557" spans="1:16" ht="19.5" customHeight="1" x14ac:dyDescent="0.2">
      <c r="A557" s="470" t="s">
        <v>27</v>
      </c>
      <c r="B557" s="125" t="s">
        <v>17</v>
      </c>
      <c r="C557" s="126" t="s">
        <v>122</v>
      </c>
      <c r="D557" s="133">
        <v>0.33333333333333331</v>
      </c>
      <c r="E557" s="133">
        <v>0.41666666666666669</v>
      </c>
      <c r="F557" s="300" t="s">
        <v>123</v>
      </c>
      <c r="G557" s="129"/>
      <c r="H557" s="449" t="s">
        <v>429</v>
      </c>
      <c r="I557" s="440"/>
      <c r="J557" s="451">
        <v>40</v>
      </c>
      <c r="K557" s="452"/>
      <c r="L557" s="82"/>
      <c r="M557" s="82"/>
      <c r="N557" s="82"/>
      <c r="O557" s="82"/>
      <c r="P557" s="82"/>
    </row>
    <row r="558" spans="1:16" ht="19.5" customHeight="1" x14ac:dyDescent="0.2">
      <c r="A558" s="444"/>
      <c r="B558" s="125" t="s">
        <v>37</v>
      </c>
      <c r="C558" s="126" t="s">
        <v>122</v>
      </c>
      <c r="D558" s="133">
        <v>0.41666666666666669</v>
      </c>
      <c r="E558" s="133">
        <v>0.5</v>
      </c>
      <c r="F558" s="300" t="s">
        <v>123</v>
      </c>
      <c r="G558" s="129"/>
      <c r="H558" s="450"/>
      <c r="I558" s="450"/>
      <c r="J558" s="450"/>
      <c r="K558" s="453"/>
      <c r="L558" s="82"/>
      <c r="M558" s="82"/>
      <c r="N558" s="82"/>
      <c r="O558" s="82"/>
      <c r="P558" s="82"/>
    </row>
    <row r="559" spans="1:16" ht="19.5" customHeight="1" x14ac:dyDescent="0.2">
      <c r="A559" s="98"/>
      <c r="B559" s="80"/>
      <c r="C559" s="117"/>
      <c r="D559" s="151"/>
      <c r="E559" s="151"/>
      <c r="F559" s="302"/>
      <c r="G559" s="268"/>
      <c r="H559" s="98"/>
      <c r="I559" s="98"/>
      <c r="J559" s="98">
        <v>60</v>
      </c>
      <c r="K559" s="240"/>
      <c r="L559" s="82"/>
      <c r="M559" s="82"/>
      <c r="N559" s="82"/>
      <c r="O559" s="82"/>
      <c r="P559" s="82"/>
    </row>
    <row r="560" spans="1:16" ht="19.5" customHeight="1" x14ac:dyDescent="0.2">
      <c r="A560" s="82"/>
      <c r="B560" s="82"/>
      <c r="C560" s="82"/>
      <c r="D560" s="82"/>
      <c r="E560" s="82"/>
      <c r="F560" s="117"/>
      <c r="G560" s="117"/>
      <c r="H560" s="82"/>
      <c r="I560" s="82"/>
      <c r="J560" s="117"/>
      <c r="K560" s="117"/>
      <c r="L560" s="82"/>
      <c r="M560" s="82"/>
      <c r="N560" s="82"/>
      <c r="O560" s="82"/>
      <c r="P560" s="82"/>
    </row>
    <row r="561" spans="1:16" ht="19.5" customHeight="1" x14ac:dyDescent="0.2">
      <c r="A561" s="131" t="s">
        <v>6</v>
      </c>
      <c r="B561" s="121">
        <v>2018</v>
      </c>
      <c r="C561" s="131" t="s">
        <v>7</v>
      </c>
      <c r="D561" s="122" t="s">
        <v>256</v>
      </c>
      <c r="E561" s="131" t="s">
        <v>9</v>
      </c>
      <c r="F561" s="123" t="s">
        <v>257</v>
      </c>
      <c r="G561" s="120" t="s">
        <v>11</v>
      </c>
      <c r="H561" s="121">
        <v>3</v>
      </c>
      <c r="I561" s="131" t="s">
        <v>12</v>
      </c>
      <c r="J561" s="121" t="s">
        <v>198</v>
      </c>
      <c r="K561" s="117"/>
      <c r="L561" s="82"/>
      <c r="M561" s="82"/>
      <c r="N561" s="82"/>
      <c r="O561" s="82"/>
      <c r="P561" s="82"/>
    </row>
    <row r="562" spans="1:16" ht="19.5" customHeight="1" x14ac:dyDescent="0.2">
      <c r="A562" s="92" t="s">
        <v>16</v>
      </c>
      <c r="B562" s="93" t="s">
        <v>17</v>
      </c>
      <c r="C562" s="93" t="s">
        <v>18</v>
      </c>
      <c r="D562" s="454" t="s">
        <v>19</v>
      </c>
      <c r="E562" s="455"/>
      <c r="F562" s="94" t="s">
        <v>20</v>
      </c>
      <c r="G562" s="94"/>
      <c r="H562" s="93" t="s">
        <v>21</v>
      </c>
      <c r="I562" s="93" t="s">
        <v>22</v>
      </c>
      <c r="J562" s="94" t="s">
        <v>23</v>
      </c>
      <c r="K562" s="117"/>
      <c r="L562" s="82"/>
      <c r="M562" s="82"/>
      <c r="N562" s="82"/>
      <c r="O562" s="82"/>
      <c r="P562" s="82"/>
    </row>
    <row r="563" spans="1:16" ht="19.5" customHeight="1" x14ac:dyDescent="0.2">
      <c r="A563" s="465" t="s">
        <v>24</v>
      </c>
      <c r="B563" s="125" t="s">
        <v>17</v>
      </c>
      <c r="C563" s="141" t="s">
        <v>25</v>
      </c>
      <c r="D563" s="133">
        <v>0.75</v>
      </c>
      <c r="E563" s="133">
        <v>0.83333333333333337</v>
      </c>
      <c r="F563" s="300" t="s">
        <v>224</v>
      </c>
      <c r="G563" s="129"/>
      <c r="H563" s="449" t="s">
        <v>426</v>
      </c>
      <c r="I563" s="440"/>
      <c r="J563" s="451">
        <v>35</v>
      </c>
      <c r="K563" s="452"/>
      <c r="L563" s="719" t="s">
        <v>427</v>
      </c>
      <c r="M563" s="694"/>
      <c r="N563" s="82"/>
      <c r="O563" s="82"/>
      <c r="P563" s="82"/>
    </row>
    <row r="564" spans="1:16" ht="19.5" customHeight="1" x14ac:dyDescent="0.2">
      <c r="A564" s="444"/>
      <c r="B564" s="125" t="s">
        <v>37</v>
      </c>
      <c r="C564" s="141" t="s">
        <v>25</v>
      </c>
      <c r="D564" s="133">
        <v>0.83333333333333337</v>
      </c>
      <c r="E564" s="133">
        <v>0.91666666666666663</v>
      </c>
      <c r="F564" s="300" t="s">
        <v>224</v>
      </c>
      <c r="G564" s="129"/>
      <c r="H564" s="450"/>
      <c r="I564" s="450"/>
      <c r="J564" s="450"/>
      <c r="K564" s="453"/>
      <c r="L564" s="82"/>
      <c r="M564" s="82"/>
      <c r="N564" s="82"/>
      <c r="O564" s="82"/>
      <c r="P564" s="82"/>
    </row>
    <row r="565" spans="1:16" ht="19.5" customHeight="1" x14ac:dyDescent="0.2">
      <c r="A565" s="465" t="s">
        <v>24</v>
      </c>
      <c r="B565" s="125" t="s">
        <v>17</v>
      </c>
      <c r="C565" s="141" t="s">
        <v>25</v>
      </c>
      <c r="D565" s="133">
        <v>0.75</v>
      </c>
      <c r="E565" s="133">
        <v>0.83333333333333337</v>
      </c>
      <c r="F565" s="300" t="s">
        <v>202</v>
      </c>
      <c r="G565" s="129"/>
      <c r="H565" s="449" t="s">
        <v>426</v>
      </c>
      <c r="I565" s="440"/>
      <c r="J565" s="451">
        <v>35</v>
      </c>
      <c r="K565" s="452"/>
      <c r="L565" s="82"/>
      <c r="M565" s="82"/>
      <c r="N565" s="82"/>
      <c r="O565" s="82"/>
      <c r="P565" s="82"/>
    </row>
    <row r="566" spans="1:16" ht="19.5" customHeight="1" x14ac:dyDescent="0.2">
      <c r="A566" s="444"/>
      <c r="B566" s="125" t="s">
        <v>37</v>
      </c>
      <c r="C566" s="141" t="s">
        <v>25</v>
      </c>
      <c r="D566" s="133">
        <v>0.83333333333333337</v>
      </c>
      <c r="E566" s="133">
        <v>0.91666666666666663</v>
      </c>
      <c r="F566" s="300" t="s">
        <v>202</v>
      </c>
      <c r="G566" s="129"/>
      <c r="H566" s="450"/>
      <c r="I566" s="450"/>
      <c r="J566" s="450"/>
      <c r="K566" s="453"/>
      <c r="L566" s="82"/>
      <c r="M566" s="82"/>
      <c r="N566" s="82"/>
      <c r="O566" s="82"/>
      <c r="P566" s="82"/>
    </row>
    <row r="567" spans="1:16" ht="19.5" customHeight="1" x14ac:dyDescent="0.2">
      <c r="A567" s="98"/>
      <c r="B567" s="80"/>
      <c r="C567" s="243"/>
      <c r="D567" s="151"/>
      <c r="E567" s="151"/>
      <c r="F567" s="302"/>
      <c r="G567" s="268"/>
      <c r="H567" s="98"/>
      <c r="I567" s="98"/>
      <c r="J567" s="98">
        <v>60</v>
      </c>
      <c r="K567" s="240"/>
      <c r="L567" s="82"/>
      <c r="M567" s="82"/>
      <c r="N567" s="82"/>
      <c r="O567" s="82"/>
      <c r="P567" s="82"/>
    </row>
    <row r="568" spans="1:16" ht="19.5" customHeight="1" x14ac:dyDescent="0.2">
      <c r="A568" s="82"/>
      <c r="B568" s="82"/>
      <c r="C568" s="82"/>
      <c r="D568" s="82"/>
      <c r="E568" s="82"/>
      <c r="F568" s="117"/>
      <c r="G568" s="117"/>
      <c r="H568" s="82"/>
      <c r="I568" s="82"/>
      <c r="J568" s="117"/>
      <c r="K568" s="117"/>
      <c r="L568" s="82"/>
      <c r="M568" s="82"/>
      <c r="N568" s="82"/>
      <c r="O568" s="82"/>
      <c r="P568" s="82"/>
    </row>
    <row r="569" spans="1:16" ht="19.5" customHeight="1" x14ac:dyDescent="0.2">
      <c r="A569" s="83" t="s">
        <v>4</v>
      </c>
      <c r="B569" s="84" t="s">
        <v>258</v>
      </c>
      <c r="C569" s="85"/>
      <c r="D569" s="85"/>
      <c r="E569" s="85"/>
      <c r="F569" s="255"/>
      <c r="G569" s="255"/>
      <c r="H569" s="85"/>
      <c r="I569" s="85"/>
      <c r="J569" s="85"/>
      <c r="K569" s="117"/>
      <c r="L569" s="82"/>
      <c r="M569" s="82"/>
      <c r="N569" s="82"/>
      <c r="O569" s="82"/>
      <c r="P569" s="82"/>
    </row>
    <row r="570" spans="1:16" ht="19.5" customHeight="1" x14ac:dyDescent="0.2">
      <c r="A570" s="82"/>
      <c r="B570" s="82"/>
      <c r="C570" s="82"/>
      <c r="D570" s="82"/>
      <c r="E570" s="82"/>
      <c r="F570" s="117"/>
      <c r="G570" s="117"/>
      <c r="H570" s="82"/>
      <c r="I570" s="119"/>
      <c r="J570" s="82"/>
      <c r="K570" s="117"/>
      <c r="L570" s="82"/>
      <c r="M570" s="82"/>
      <c r="N570" s="82"/>
      <c r="O570" s="82"/>
      <c r="P570" s="82"/>
    </row>
    <row r="571" spans="1:16" ht="19.5" customHeight="1" x14ac:dyDescent="0.2">
      <c r="A571" s="131" t="s">
        <v>6</v>
      </c>
      <c r="B571" s="121">
        <v>2018</v>
      </c>
      <c r="C571" s="131" t="s">
        <v>7</v>
      </c>
      <c r="D571" s="122" t="s">
        <v>259</v>
      </c>
      <c r="E571" s="131" t="s">
        <v>9</v>
      </c>
      <c r="F571" s="123" t="s">
        <v>260</v>
      </c>
      <c r="G571" s="120" t="s">
        <v>11</v>
      </c>
      <c r="H571" s="121">
        <v>3</v>
      </c>
      <c r="I571" s="131" t="s">
        <v>12</v>
      </c>
      <c r="J571" s="121" t="s">
        <v>261</v>
      </c>
      <c r="K571" s="294"/>
      <c r="L571" s="82"/>
      <c r="M571" s="82"/>
      <c r="N571" s="82"/>
      <c r="O571" s="82"/>
      <c r="P571" s="82"/>
    </row>
    <row r="572" spans="1:16" ht="19.5" customHeight="1" x14ac:dyDescent="0.2">
      <c r="A572" s="92" t="s">
        <v>16</v>
      </c>
      <c r="B572" s="93" t="s">
        <v>17</v>
      </c>
      <c r="C572" s="93" t="s">
        <v>18</v>
      </c>
      <c r="D572" s="454" t="s">
        <v>19</v>
      </c>
      <c r="E572" s="455"/>
      <c r="F572" s="94" t="s">
        <v>20</v>
      </c>
      <c r="G572" s="94"/>
      <c r="H572" s="93" t="s">
        <v>21</v>
      </c>
      <c r="I572" s="93" t="s">
        <v>22</v>
      </c>
      <c r="J572" s="94" t="s">
        <v>23</v>
      </c>
      <c r="K572" s="117"/>
      <c r="L572" s="82"/>
      <c r="M572" s="82"/>
      <c r="N572" s="82"/>
      <c r="O572" s="82"/>
      <c r="P572" s="82"/>
    </row>
    <row r="573" spans="1:16" ht="19.5" customHeight="1" x14ac:dyDescent="0.2">
      <c r="A573" s="465" t="s">
        <v>24</v>
      </c>
      <c r="B573" s="140" t="s">
        <v>17</v>
      </c>
      <c r="C573" s="141" t="s">
        <v>25</v>
      </c>
      <c r="D573" s="142">
        <v>0.75</v>
      </c>
      <c r="E573" s="142">
        <v>0.83333333333333337</v>
      </c>
      <c r="F573" s="299" t="s">
        <v>203</v>
      </c>
      <c r="G573" s="272"/>
      <c r="H573" s="449">
        <v>30</v>
      </c>
      <c r="I573" s="440"/>
      <c r="J573" s="451">
        <f>SUM(H573:I573)</f>
        <v>30</v>
      </c>
      <c r="K573" s="452"/>
      <c r="L573" s="82"/>
      <c r="M573" s="82"/>
      <c r="N573" s="82"/>
      <c r="O573" s="82"/>
      <c r="P573" s="82"/>
    </row>
    <row r="574" spans="1:16" ht="19.5" customHeight="1" x14ac:dyDescent="0.2">
      <c r="A574" s="444"/>
      <c r="B574" s="140" t="s">
        <v>37</v>
      </c>
      <c r="C574" s="141" t="s">
        <v>25</v>
      </c>
      <c r="D574" s="142">
        <v>0.83333333333333337</v>
      </c>
      <c r="E574" s="142">
        <v>0.91666666666666663</v>
      </c>
      <c r="F574" s="299" t="s">
        <v>203</v>
      </c>
      <c r="G574" s="272"/>
      <c r="H574" s="450"/>
      <c r="I574" s="450"/>
      <c r="J574" s="450"/>
      <c r="K574" s="453"/>
      <c r="L574" s="82"/>
      <c r="M574" s="82"/>
      <c r="N574" s="82"/>
      <c r="O574" s="82"/>
      <c r="P574" s="82"/>
    </row>
    <row r="575" spans="1:16" ht="19.5" customHeight="1" x14ac:dyDescent="0.2">
      <c r="A575" s="82"/>
      <c r="B575" s="82"/>
      <c r="C575" s="82"/>
      <c r="D575" s="82"/>
      <c r="E575" s="82"/>
      <c r="F575" s="117"/>
      <c r="G575" s="117"/>
      <c r="H575" s="82"/>
      <c r="I575" s="82"/>
      <c r="J575" s="117">
        <v>30</v>
      </c>
      <c r="K575" s="117"/>
      <c r="L575" s="82"/>
      <c r="M575" s="82"/>
      <c r="N575" s="82"/>
      <c r="O575" s="82"/>
      <c r="P575" s="82"/>
    </row>
    <row r="576" spans="1:16" ht="19.5" customHeight="1" x14ac:dyDescent="0.2">
      <c r="A576" s="82"/>
      <c r="B576" s="82"/>
      <c r="C576" s="82"/>
      <c r="D576" s="82"/>
      <c r="E576" s="82"/>
      <c r="F576" s="117"/>
      <c r="G576" s="117"/>
      <c r="H576" s="82"/>
      <c r="I576" s="82"/>
      <c r="J576" s="117"/>
      <c r="K576" s="117"/>
      <c r="L576" s="82"/>
      <c r="M576" s="82"/>
      <c r="N576" s="82"/>
      <c r="O576" s="82"/>
      <c r="P576" s="82"/>
    </row>
    <row r="577" spans="1:16" ht="19.5" customHeight="1" x14ac:dyDescent="0.2">
      <c r="A577" s="244" t="s">
        <v>6</v>
      </c>
      <c r="B577" s="121">
        <v>2018</v>
      </c>
      <c r="C577" s="131" t="s">
        <v>7</v>
      </c>
      <c r="D577" s="122" t="s">
        <v>262</v>
      </c>
      <c r="E577" s="131" t="s">
        <v>9</v>
      </c>
      <c r="F577" s="123" t="s">
        <v>263</v>
      </c>
      <c r="G577" s="120" t="s">
        <v>11</v>
      </c>
      <c r="H577" s="121">
        <v>2</v>
      </c>
      <c r="I577" s="131" t="s">
        <v>12</v>
      </c>
      <c r="J577" s="121" t="s">
        <v>264</v>
      </c>
      <c r="K577" s="117"/>
      <c r="L577" s="82"/>
      <c r="M577" s="82"/>
      <c r="N577" s="82"/>
      <c r="O577" s="82"/>
      <c r="P577" s="82"/>
    </row>
    <row r="578" spans="1:16" ht="19.5" customHeight="1" x14ac:dyDescent="0.2">
      <c r="A578" s="92" t="s">
        <v>16</v>
      </c>
      <c r="B578" s="93" t="s">
        <v>17</v>
      </c>
      <c r="C578" s="93" t="s">
        <v>18</v>
      </c>
      <c r="D578" s="454" t="s">
        <v>19</v>
      </c>
      <c r="E578" s="455"/>
      <c r="F578" s="94" t="s">
        <v>20</v>
      </c>
      <c r="G578" s="94"/>
      <c r="H578" s="93" t="s">
        <v>21</v>
      </c>
      <c r="I578" s="93" t="s">
        <v>22</v>
      </c>
      <c r="J578" s="94" t="s">
        <v>23</v>
      </c>
      <c r="K578" s="117"/>
      <c r="L578" s="82"/>
      <c r="M578" s="82"/>
      <c r="N578" s="82"/>
      <c r="O578" s="82"/>
      <c r="P578" s="82"/>
    </row>
    <row r="579" spans="1:16" ht="19.5" customHeight="1" x14ac:dyDescent="0.2">
      <c r="A579" s="466" t="s">
        <v>24</v>
      </c>
      <c r="B579" s="67" t="s">
        <v>17</v>
      </c>
      <c r="C579" s="138" t="s">
        <v>92</v>
      </c>
      <c r="D579" s="127">
        <v>0.79166666666666663</v>
      </c>
      <c r="E579" s="127">
        <v>0.83333333333333337</v>
      </c>
      <c r="F579" s="305" t="s">
        <v>381</v>
      </c>
      <c r="G579" s="264"/>
      <c r="H579" s="458">
        <v>10</v>
      </c>
      <c r="I579" s="459"/>
      <c r="J579" s="456">
        <f>SUM(H579:I579)</f>
        <v>10</v>
      </c>
      <c r="K579" s="452"/>
      <c r="L579" s="82"/>
      <c r="M579" s="82"/>
      <c r="N579" s="82"/>
      <c r="O579" s="82"/>
      <c r="P579" s="82"/>
    </row>
    <row r="580" spans="1:16" ht="19.5" customHeight="1" x14ac:dyDescent="0.2">
      <c r="A580" s="444"/>
      <c r="B580" s="67" t="s">
        <v>37</v>
      </c>
      <c r="C580" s="138" t="s">
        <v>92</v>
      </c>
      <c r="D580" s="127">
        <v>0.83333333333333337</v>
      </c>
      <c r="E580" s="127">
        <v>0.91666666666666663</v>
      </c>
      <c r="F580" s="305" t="s">
        <v>381</v>
      </c>
      <c r="G580" s="264"/>
      <c r="H580" s="457"/>
      <c r="I580" s="457"/>
      <c r="J580" s="457"/>
      <c r="K580" s="453"/>
      <c r="L580" s="82"/>
      <c r="M580" s="82"/>
      <c r="N580" s="82"/>
      <c r="O580" s="82"/>
      <c r="P580" s="82"/>
    </row>
    <row r="581" spans="1:16" ht="19.5" customHeight="1" x14ac:dyDescent="0.2">
      <c r="A581" s="471" t="s">
        <v>27</v>
      </c>
      <c r="B581" s="245" t="s">
        <v>17</v>
      </c>
      <c r="C581" s="138" t="s">
        <v>92</v>
      </c>
      <c r="D581" s="127">
        <v>0.79166666666666663</v>
      </c>
      <c r="E581" s="127">
        <v>0.83333333333333337</v>
      </c>
      <c r="F581" s="305" t="s">
        <v>382</v>
      </c>
      <c r="G581" s="285"/>
      <c r="H581" s="458">
        <v>10</v>
      </c>
      <c r="I581" s="460"/>
      <c r="J581" s="456">
        <f>SUM(H581:I581)</f>
        <v>10</v>
      </c>
      <c r="K581" s="452"/>
      <c r="L581" s="82"/>
      <c r="M581" s="82"/>
      <c r="N581" s="82"/>
      <c r="O581" s="82"/>
      <c r="P581" s="82"/>
    </row>
    <row r="582" spans="1:16" ht="19.5" customHeight="1" x14ac:dyDescent="0.2">
      <c r="A582" s="444"/>
      <c r="B582" s="245" t="s">
        <v>37</v>
      </c>
      <c r="C582" s="138" t="s">
        <v>92</v>
      </c>
      <c r="D582" s="127">
        <v>0.83333333333333337</v>
      </c>
      <c r="E582" s="127">
        <v>0.91666666666666663</v>
      </c>
      <c r="F582" s="305" t="s">
        <v>382</v>
      </c>
      <c r="G582" s="285"/>
      <c r="H582" s="457"/>
      <c r="I582" s="457"/>
      <c r="J582" s="457"/>
      <c r="K582" s="453"/>
      <c r="L582" s="82"/>
      <c r="M582" s="82"/>
      <c r="N582" s="82"/>
      <c r="O582" s="82"/>
      <c r="P582" s="82"/>
    </row>
    <row r="583" spans="1:16" ht="19.5" customHeight="1" x14ac:dyDescent="0.2">
      <c r="A583" s="463" t="s">
        <v>28</v>
      </c>
      <c r="B583" s="246" t="s">
        <v>17</v>
      </c>
      <c r="C583" s="138" t="s">
        <v>92</v>
      </c>
      <c r="D583" s="247">
        <v>0.79166666666666663</v>
      </c>
      <c r="E583" s="247">
        <v>0.83333333333333337</v>
      </c>
      <c r="F583" s="304"/>
      <c r="G583" s="228"/>
      <c r="H583" s="458">
        <v>10</v>
      </c>
      <c r="I583" s="461"/>
      <c r="J583" s="462">
        <v>10</v>
      </c>
      <c r="K583" s="452"/>
      <c r="L583" s="82"/>
      <c r="M583" s="82"/>
      <c r="N583" s="82"/>
      <c r="O583" s="82"/>
      <c r="P583" s="82"/>
    </row>
    <row r="584" spans="1:16" ht="19.5" customHeight="1" x14ac:dyDescent="0.2">
      <c r="A584" s="444"/>
      <c r="B584" s="246" t="s">
        <v>37</v>
      </c>
      <c r="C584" s="138" t="s">
        <v>92</v>
      </c>
      <c r="D584" s="247">
        <v>0.83333333333333337</v>
      </c>
      <c r="E584" s="247">
        <v>0.91666666666666663</v>
      </c>
      <c r="F584" s="304"/>
      <c r="G584" s="228"/>
      <c r="H584" s="457"/>
      <c r="I584" s="444"/>
      <c r="J584" s="444"/>
      <c r="K584" s="453"/>
      <c r="L584" s="82"/>
      <c r="M584" s="82"/>
      <c r="N584" s="82"/>
      <c r="O584" s="82"/>
      <c r="P584" s="82"/>
    </row>
    <row r="585" spans="1:16" ht="19.5" customHeight="1" x14ac:dyDescent="0.2">
      <c r="A585" s="463" t="s">
        <v>38</v>
      </c>
      <c r="B585" s="246" t="s">
        <v>17</v>
      </c>
      <c r="C585" s="138" t="s">
        <v>92</v>
      </c>
      <c r="D585" s="247">
        <v>0.79166666666666663</v>
      </c>
      <c r="E585" s="247">
        <v>0.83333333333333337</v>
      </c>
      <c r="F585" s="304"/>
      <c r="G585" s="228"/>
      <c r="H585" s="458">
        <v>10</v>
      </c>
      <c r="I585" s="461"/>
      <c r="J585" s="462">
        <v>10</v>
      </c>
      <c r="K585" s="452"/>
      <c r="L585" s="82"/>
      <c r="M585" s="82"/>
      <c r="N585" s="82"/>
      <c r="O585" s="82"/>
      <c r="P585" s="82"/>
    </row>
    <row r="586" spans="1:16" ht="19.5" customHeight="1" x14ac:dyDescent="0.2">
      <c r="A586" s="444"/>
      <c r="B586" s="246" t="s">
        <v>37</v>
      </c>
      <c r="C586" s="138" t="s">
        <v>92</v>
      </c>
      <c r="D586" s="247">
        <v>0.83333333333333337</v>
      </c>
      <c r="E586" s="247">
        <v>0.91666666666666663</v>
      </c>
      <c r="F586" s="304"/>
      <c r="G586" s="228"/>
      <c r="H586" s="457"/>
      <c r="I586" s="444"/>
      <c r="J586" s="444"/>
      <c r="K586" s="453"/>
      <c r="L586" s="82"/>
      <c r="M586" s="82"/>
      <c r="N586" s="82"/>
      <c r="O586" s="82"/>
      <c r="P586" s="82"/>
    </row>
    <row r="587" spans="1:16" ht="19.5" customHeight="1" x14ac:dyDescent="0.2">
      <c r="A587" s="98"/>
      <c r="B587" s="114"/>
      <c r="C587" s="185"/>
      <c r="D587" s="248"/>
      <c r="E587" s="248"/>
      <c r="F587" s="325"/>
      <c r="G587" s="286"/>
      <c r="H587" s="98"/>
      <c r="I587" s="98"/>
      <c r="J587" s="98">
        <v>40</v>
      </c>
      <c r="K587" s="240"/>
      <c r="L587" s="82"/>
      <c r="M587" s="82"/>
      <c r="N587" s="82"/>
      <c r="O587" s="82"/>
      <c r="P587" s="82"/>
    </row>
    <row r="588" spans="1:16" ht="19.5" customHeight="1" x14ac:dyDescent="0.2">
      <c r="A588" s="82"/>
      <c r="B588" s="82"/>
      <c r="C588" s="82"/>
      <c r="D588" s="82"/>
      <c r="E588" s="82"/>
      <c r="F588" s="117"/>
      <c r="G588" s="117"/>
      <c r="H588" s="82"/>
      <c r="I588" s="82"/>
      <c r="J588" s="117"/>
      <c r="K588" s="117"/>
      <c r="L588" s="82"/>
      <c r="M588" s="82"/>
      <c r="N588" s="82"/>
      <c r="O588" s="82"/>
      <c r="P588" s="82"/>
    </row>
    <row r="589" spans="1:16" ht="19.5" customHeight="1" x14ac:dyDescent="0.2">
      <c r="A589" s="131" t="s">
        <v>6</v>
      </c>
      <c r="B589" s="121">
        <v>2018</v>
      </c>
      <c r="C589" s="131" t="s">
        <v>7</v>
      </c>
      <c r="D589" s="122" t="s">
        <v>265</v>
      </c>
      <c r="E589" s="131" t="s">
        <v>9</v>
      </c>
      <c r="F589" s="123" t="s">
        <v>266</v>
      </c>
      <c r="G589" s="120" t="s">
        <v>11</v>
      </c>
      <c r="H589" s="121">
        <v>4</v>
      </c>
      <c r="I589" s="131" t="s">
        <v>12</v>
      </c>
      <c r="J589" s="121" t="s">
        <v>253</v>
      </c>
      <c r="K589" s="117"/>
      <c r="L589" s="82"/>
      <c r="M589" s="82"/>
      <c r="N589" s="82"/>
      <c r="O589" s="82"/>
      <c r="P589" s="82"/>
    </row>
    <row r="590" spans="1:16" ht="19.5" customHeight="1" x14ac:dyDescent="0.2">
      <c r="A590" s="92" t="s">
        <v>16</v>
      </c>
      <c r="B590" s="93" t="s">
        <v>17</v>
      </c>
      <c r="C590" s="93" t="s">
        <v>18</v>
      </c>
      <c r="D590" s="454" t="s">
        <v>19</v>
      </c>
      <c r="E590" s="455"/>
      <c r="F590" s="94" t="s">
        <v>20</v>
      </c>
      <c r="G590" s="94"/>
      <c r="H590" s="93" t="s">
        <v>21</v>
      </c>
      <c r="I590" s="93" t="s">
        <v>22</v>
      </c>
      <c r="J590" s="94" t="s">
        <v>23</v>
      </c>
      <c r="K590" s="117"/>
      <c r="L590" s="82"/>
      <c r="M590" s="82"/>
      <c r="N590" s="82"/>
      <c r="O590" s="82"/>
      <c r="P590" s="82"/>
    </row>
    <row r="591" spans="1:16" ht="19.5" customHeight="1" x14ac:dyDescent="0.2">
      <c r="A591" s="465" t="s">
        <v>24</v>
      </c>
      <c r="B591" s="125" t="s">
        <v>17</v>
      </c>
      <c r="C591" s="126" t="s">
        <v>122</v>
      </c>
      <c r="D591" s="127">
        <v>0.33333333333333331</v>
      </c>
      <c r="E591" s="127">
        <v>0.41666666666666669</v>
      </c>
      <c r="F591" s="300" t="s">
        <v>140</v>
      </c>
      <c r="G591" s="129"/>
      <c r="H591" s="449">
        <v>40</v>
      </c>
      <c r="I591" s="440"/>
      <c r="J591" s="451">
        <f>SUM(H591:I591)</f>
        <v>40</v>
      </c>
      <c r="K591" s="452"/>
      <c r="L591" s="82"/>
      <c r="M591" s="82"/>
      <c r="N591" s="82"/>
      <c r="O591" s="82"/>
      <c r="P591" s="82"/>
    </row>
    <row r="592" spans="1:16" ht="19.5" customHeight="1" x14ac:dyDescent="0.2">
      <c r="A592" s="444"/>
      <c r="B592" s="125" t="s">
        <v>26</v>
      </c>
      <c r="C592" s="126" t="s">
        <v>122</v>
      </c>
      <c r="D592" s="127">
        <v>0.41666666666666669</v>
      </c>
      <c r="E592" s="127">
        <v>0.58333333333333337</v>
      </c>
      <c r="F592" s="300" t="s">
        <v>140</v>
      </c>
      <c r="G592" s="129"/>
      <c r="H592" s="450"/>
      <c r="I592" s="450"/>
      <c r="J592" s="450"/>
      <c r="K592" s="453"/>
      <c r="L592" s="82"/>
      <c r="M592" s="82"/>
      <c r="N592" s="82"/>
      <c r="O592" s="82"/>
      <c r="P592" s="82"/>
    </row>
    <row r="593" spans="1:16" ht="19.5" customHeight="1" x14ac:dyDescent="0.2">
      <c r="A593" s="98"/>
      <c r="B593" s="80"/>
      <c r="C593" s="117"/>
      <c r="D593" s="209"/>
      <c r="E593" s="209"/>
      <c r="F593" s="302"/>
      <c r="G593" s="268"/>
      <c r="H593" s="98"/>
      <c r="I593" s="98"/>
      <c r="J593" s="98">
        <v>40</v>
      </c>
      <c r="K593" s="240"/>
      <c r="L593" s="82"/>
      <c r="M593" s="82"/>
      <c r="N593" s="82"/>
      <c r="O593" s="82"/>
      <c r="P593" s="82"/>
    </row>
    <row r="594" spans="1:16" ht="19.5" customHeight="1" x14ac:dyDescent="0.2">
      <c r="A594" s="82"/>
      <c r="B594" s="82"/>
      <c r="C594" s="82"/>
      <c r="D594" s="82"/>
      <c r="E594" s="82"/>
      <c r="F594" s="117"/>
      <c r="G594" s="117"/>
      <c r="H594" s="82"/>
      <c r="I594" s="82"/>
      <c r="J594" s="117"/>
      <c r="K594" s="117"/>
      <c r="L594" s="82"/>
      <c r="M594" s="82"/>
      <c r="N594" s="82"/>
      <c r="O594" s="82"/>
      <c r="P594" s="82"/>
    </row>
    <row r="595" spans="1:16" ht="19.5" customHeight="1" x14ac:dyDescent="0.2">
      <c r="A595" s="131" t="s">
        <v>6</v>
      </c>
      <c r="B595" s="121">
        <v>2018</v>
      </c>
      <c r="C595" s="131" t="s">
        <v>7</v>
      </c>
      <c r="D595" s="122" t="s">
        <v>267</v>
      </c>
      <c r="E595" s="131" t="s">
        <v>9</v>
      </c>
      <c r="F595" s="123" t="s">
        <v>268</v>
      </c>
      <c r="G595" s="120" t="s">
        <v>11</v>
      </c>
      <c r="H595" s="121">
        <v>3</v>
      </c>
      <c r="I595" s="131" t="s">
        <v>12</v>
      </c>
      <c r="J595" s="121" t="s">
        <v>253</v>
      </c>
      <c r="K595" s="117"/>
      <c r="L595" s="82"/>
      <c r="M595" s="82"/>
      <c r="N595" s="82"/>
      <c r="O595" s="82"/>
      <c r="P595" s="82"/>
    </row>
    <row r="596" spans="1:16" ht="19.5" customHeight="1" x14ac:dyDescent="0.2">
      <c r="A596" s="92" t="s">
        <v>16</v>
      </c>
      <c r="B596" s="93" t="s">
        <v>17</v>
      </c>
      <c r="C596" s="93" t="s">
        <v>18</v>
      </c>
      <c r="D596" s="454" t="s">
        <v>19</v>
      </c>
      <c r="E596" s="455"/>
      <c r="F596" s="94" t="s">
        <v>20</v>
      </c>
      <c r="G596" s="94"/>
      <c r="H596" s="93" t="s">
        <v>21</v>
      </c>
      <c r="I596" s="93" t="s">
        <v>22</v>
      </c>
      <c r="J596" s="94" t="s">
        <v>23</v>
      </c>
      <c r="K596" s="117"/>
      <c r="L596" s="82"/>
      <c r="M596" s="82"/>
      <c r="N596" s="82"/>
      <c r="O596" s="82"/>
      <c r="P596" s="82"/>
    </row>
    <row r="597" spans="1:16" ht="19.5" customHeight="1" x14ac:dyDescent="0.2">
      <c r="A597" s="470" t="s">
        <v>24</v>
      </c>
      <c r="B597" s="103" t="s">
        <v>17</v>
      </c>
      <c r="C597" s="95" t="s">
        <v>48</v>
      </c>
      <c r="D597" s="96">
        <v>0.70833333333333337</v>
      </c>
      <c r="E597" s="96">
        <v>0.75</v>
      </c>
      <c r="F597" s="299" t="s">
        <v>235</v>
      </c>
      <c r="G597" s="272"/>
      <c r="H597" s="449">
        <v>30</v>
      </c>
      <c r="I597" s="440"/>
      <c r="J597" s="451">
        <f>SUM(H597:I597)</f>
        <v>30</v>
      </c>
      <c r="K597" s="452"/>
      <c r="L597" s="82"/>
      <c r="M597" s="82"/>
      <c r="N597" s="82"/>
      <c r="O597" s="82"/>
      <c r="P597" s="82"/>
    </row>
    <row r="598" spans="1:16" ht="19.5" customHeight="1" x14ac:dyDescent="0.2">
      <c r="A598" s="444"/>
      <c r="B598" s="103" t="s">
        <v>37</v>
      </c>
      <c r="C598" s="95" t="s">
        <v>48</v>
      </c>
      <c r="D598" s="96">
        <v>0.75</v>
      </c>
      <c r="E598" s="96">
        <v>0.91666666666666663</v>
      </c>
      <c r="F598" s="299" t="s">
        <v>235</v>
      </c>
      <c r="G598" s="272"/>
      <c r="H598" s="450"/>
      <c r="I598" s="450"/>
      <c r="J598" s="450"/>
      <c r="K598" s="453"/>
      <c r="L598" s="82"/>
      <c r="M598" s="82"/>
      <c r="N598" s="82"/>
      <c r="O598" s="82"/>
      <c r="P598" s="82"/>
    </row>
    <row r="599" spans="1:16" ht="19.5" customHeight="1" x14ac:dyDescent="0.2">
      <c r="A599" s="470" t="s">
        <v>27</v>
      </c>
      <c r="B599" s="103" t="s">
        <v>17</v>
      </c>
      <c r="C599" s="104" t="s">
        <v>36</v>
      </c>
      <c r="D599" s="108">
        <v>0.58333333333333337</v>
      </c>
      <c r="E599" s="108">
        <v>0.625</v>
      </c>
      <c r="F599" s="337" t="s">
        <v>402</v>
      </c>
      <c r="G599" s="340"/>
      <c r="H599" s="449">
        <v>30</v>
      </c>
      <c r="I599" s="440"/>
      <c r="J599" s="451">
        <f>SUM(H599:I599)</f>
        <v>30</v>
      </c>
      <c r="K599" s="452"/>
      <c r="L599" s="82"/>
      <c r="M599" s="82"/>
      <c r="N599" s="82"/>
      <c r="O599" s="82"/>
      <c r="P599" s="82"/>
    </row>
    <row r="600" spans="1:16" ht="19.5" customHeight="1" x14ac:dyDescent="0.2">
      <c r="A600" s="444"/>
      <c r="B600" s="103" t="s">
        <v>37</v>
      </c>
      <c r="C600" s="104" t="s">
        <v>36</v>
      </c>
      <c r="D600" s="108">
        <v>0.625</v>
      </c>
      <c r="E600" s="108">
        <v>0.79166666666666663</v>
      </c>
      <c r="F600" s="337" t="s">
        <v>402</v>
      </c>
      <c r="G600" s="340"/>
      <c r="H600" s="450"/>
      <c r="I600" s="450"/>
      <c r="J600" s="450"/>
      <c r="K600" s="453"/>
      <c r="L600" s="82"/>
      <c r="M600" s="82"/>
      <c r="N600" s="82"/>
      <c r="O600" s="82"/>
      <c r="P600" s="82"/>
    </row>
    <row r="601" spans="1:16" ht="19.5" customHeight="1" x14ac:dyDescent="0.2">
      <c r="A601" s="98"/>
      <c r="B601" s="79"/>
      <c r="C601" s="116"/>
      <c r="D601" s="249"/>
      <c r="E601" s="249"/>
      <c r="F601" s="284"/>
      <c r="G601" s="268"/>
      <c r="H601" s="98"/>
      <c r="I601" s="98"/>
      <c r="J601" s="98">
        <v>60</v>
      </c>
      <c r="K601" s="240"/>
      <c r="L601" s="82"/>
      <c r="M601" s="82"/>
      <c r="N601" s="82"/>
      <c r="O601" s="82"/>
      <c r="P601" s="82"/>
    </row>
    <row r="602" spans="1:16" ht="19.5" customHeight="1" x14ac:dyDescent="0.2">
      <c r="A602" s="82"/>
      <c r="B602" s="82"/>
      <c r="C602" s="82"/>
      <c r="D602" s="82"/>
      <c r="E602" s="82"/>
      <c r="G602" s="117"/>
      <c r="H602" s="82"/>
      <c r="I602" s="82"/>
      <c r="J602" s="117"/>
      <c r="K602" s="117"/>
      <c r="L602" s="82"/>
      <c r="M602" s="82"/>
      <c r="N602" s="82"/>
      <c r="O602" s="82"/>
      <c r="P602" s="82"/>
    </row>
    <row r="603" spans="1:16" ht="19.5" customHeight="1" x14ac:dyDescent="0.2">
      <c r="A603" s="131" t="s">
        <v>6</v>
      </c>
      <c r="B603" s="121">
        <v>2018</v>
      </c>
      <c r="C603" s="131" t="s">
        <v>7</v>
      </c>
      <c r="D603" s="122" t="s">
        <v>269</v>
      </c>
      <c r="E603" s="131" t="s">
        <v>9</v>
      </c>
      <c r="F603" s="123" t="s">
        <v>270</v>
      </c>
      <c r="G603" s="120" t="s">
        <v>11</v>
      </c>
      <c r="H603" s="121">
        <v>3</v>
      </c>
      <c r="I603" s="131" t="s">
        <v>12</v>
      </c>
      <c r="J603" s="121" t="s">
        <v>253</v>
      </c>
      <c r="K603" s="117"/>
      <c r="L603" s="82"/>
      <c r="M603" s="82"/>
      <c r="N603" s="82"/>
      <c r="O603" s="82"/>
      <c r="P603" s="82"/>
    </row>
    <row r="604" spans="1:16" ht="19.5" customHeight="1" x14ac:dyDescent="0.2">
      <c r="A604" s="92" t="s">
        <v>16</v>
      </c>
      <c r="B604" s="93" t="s">
        <v>17</v>
      </c>
      <c r="C604" s="93" t="s">
        <v>18</v>
      </c>
      <c r="D604" s="454" t="s">
        <v>19</v>
      </c>
      <c r="E604" s="455"/>
      <c r="F604" s="94" t="s">
        <v>20</v>
      </c>
      <c r="G604" s="94"/>
      <c r="H604" s="93" t="s">
        <v>21</v>
      </c>
      <c r="I604" s="93" t="s">
        <v>22</v>
      </c>
      <c r="J604" s="94" t="s">
        <v>23</v>
      </c>
      <c r="K604" s="117"/>
      <c r="L604" s="82"/>
      <c r="M604" s="82"/>
      <c r="N604" s="82"/>
      <c r="O604" s="82"/>
      <c r="P604" s="82"/>
    </row>
    <row r="605" spans="1:16" ht="19.5" customHeight="1" x14ac:dyDescent="0.2">
      <c r="A605" s="470" t="s">
        <v>24</v>
      </c>
      <c r="B605" s="42" t="s">
        <v>17</v>
      </c>
      <c r="C605" s="95" t="s">
        <v>32</v>
      </c>
      <c r="D605" s="96">
        <v>0.75</v>
      </c>
      <c r="E605" s="96">
        <v>0.83333333333333337</v>
      </c>
      <c r="F605" s="326" t="s">
        <v>235</v>
      </c>
      <c r="G605" s="129"/>
      <c r="H605" s="449">
        <v>30</v>
      </c>
      <c r="I605" s="440"/>
      <c r="J605" s="451">
        <f>SUM(H605:I605)</f>
        <v>30</v>
      </c>
      <c r="K605" s="452"/>
      <c r="L605" s="82"/>
      <c r="M605" s="82"/>
      <c r="N605" s="82"/>
      <c r="O605" s="82"/>
      <c r="P605" s="82"/>
    </row>
    <row r="606" spans="1:16" ht="19.5" customHeight="1" x14ac:dyDescent="0.2">
      <c r="A606" s="444"/>
      <c r="B606" s="42" t="s">
        <v>37</v>
      </c>
      <c r="C606" s="95" t="s">
        <v>32</v>
      </c>
      <c r="D606" s="96">
        <v>0.83333333333333337</v>
      </c>
      <c r="E606" s="96">
        <v>0.91666666666666663</v>
      </c>
      <c r="F606" s="326" t="s">
        <v>235</v>
      </c>
      <c r="G606" s="129"/>
      <c r="H606" s="450"/>
      <c r="I606" s="450"/>
      <c r="J606" s="450"/>
      <c r="K606" s="453"/>
      <c r="L606" s="82"/>
      <c r="M606" s="82"/>
      <c r="N606" s="82"/>
      <c r="O606" s="82"/>
      <c r="P606" s="82"/>
    </row>
    <row r="607" spans="1:16" ht="19.5" customHeight="1" x14ac:dyDescent="0.2">
      <c r="A607" s="98"/>
      <c r="B607" s="52"/>
      <c r="C607" s="82"/>
      <c r="D607" s="250"/>
      <c r="E607" s="250"/>
      <c r="F607" s="327"/>
      <c r="G607" s="268"/>
      <c r="H607" s="98"/>
      <c r="I607" s="98"/>
      <c r="J607" s="98">
        <v>30</v>
      </c>
      <c r="K607" s="240"/>
      <c r="L607" s="82"/>
      <c r="M607" s="82"/>
      <c r="N607" s="82"/>
      <c r="O607" s="82"/>
      <c r="P607" s="82"/>
    </row>
    <row r="608" spans="1:16" ht="19.5" customHeight="1" x14ac:dyDescent="0.2">
      <c r="A608" s="82"/>
      <c r="B608" s="82"/>
      <c r="C608" s="82"/>
      <c r="D608" s="82"/>
      <c r="E608" s="82"/>
      <c r="F608" s="117"/>
      <c r="G608" s="117"/>
      <c r="H608" s="82"/>
      <c r="I608" s="82"/>
      <c r="J608" s="117"/>
      <c r="K608" s="117"/>
      <c r="L608" s="82"/>
      <c r="M608" s="82"/>
      <c r="N608" s="82"/>
      <c r="O608" s="82"/>
      <c r="P608" s="82"/>
    </row>
    <row r="609" spans="1:16" ht="19.5" customHeight="1" x14ac:dyDescent="0.2">
      <c r="A609" s="131" t="s">
        <v>6</v>
      </c>
      <c r="B609" s="121">
        <v>2018</v>
      </c>
      <c r="C609" s="131" t="s">
        <v>7</v>
      </c>
      <c r="D609" s="122" t="s">
        <v>271</v>
      </c>
      <c r="E609" s="131" t="s">
        <v>9</v>
      </c>
      <c r="F609" s="123" t="s">
        <v>272</v>
      </c>
      <c r="G609" s="120" t="s">
        <v>11</v>
      </c>
      <c r="H609" s="121">
        <v>3</v>
      </c>
      <c r="I609" s="131" t="s">
        <v>12</v>
      </c>
      <c r="J609" s="121" t="s">
        <v>273</v>
      </c>
      <c r="K609" s="117"/>
      <c r="L609" s="82"/>
      <c r="M609" s="82"/>
      <c r="N609" s="82"/>
      <c r="O609" s="82"/>
      <c r="P609" s="82"/>
    </row>
    <row r="610" spans="1:16" ht="19.5" customHeight="1" x14ac:dyDescent="0.2">
      <c r="A610" s="92" t="s">
        <v>16</v>
      </c>
      <c r="B610" s="93" t="s">
        <v>17</v>
      </c>
      <c r="C610" s="93" t="s">
        <v>18</v>
      </c>
      <c r="D610" s="454" t="s">
        <v>19</v>
      </c>
      <c r="E610" s="455"/>
      <c r="F610" s="94" t="s">
        <v>20</v>
      </c>
      <c r="G610" s="94"/>
      <c r="H610" s="93" t="s">
        <v>21</v>
      </c>
      <c r="I610" s="93" t="s">
        <v>22</v>
      </c>
      <c r="J610" s="94" t="s">
        <v>23</v>
      </c>
      <c r="K610" s="117"/>
      <c r="L610" s="82"/>
      <c r="M610" s="82"/>
      <c r="N610" s="82"/>
      <c r="O610" s="82"/>
      <c r="P610" s="82"/>
    </row>
    <row r="611" spans="1:16" ht="19.5" customHeight="1" x14ac:dyDescent="0.2">
      <c r="A611" s="470" t="s">
        <v>24</v>
      </c>
      <c r="B611" s="42" t="s">
        <v>17</v>
      </c>
      <c r="C611" s="95" t="s">
        <v>44</v>
      </c>
      <c r="D611" s="96">
        <v>0.75</v>
      </c>
      <c r="E611" s="96">
        <v>0.83333333333333337</v>
      </c>
      <c r="F611" s="300" t="s">
        <v>134</v>
      </c>
      <c r="G611" s="129"/>
      <c r="H611" s="449">
        <v>40</v>
      </c>
      <c r="I611" s="440"/>
      <c r="J611" s="451">
        <f>SUM(H611:I611)</f>
        <v>40</v>
      </c>
      <c r="K611" s="452"/>
      <c r="L611" s="82"/>
      <c r="M611" s="82"/>
      <c r="N611" s="82"/>
      <c r="O611" s="82"/>
      <c r="P611" s="82"/>
    </row>
    <row r="612" spans="1:16" ht="19.5" customHeight="1" x14ac:dyDescent="0.2">
      <c r="A612" s="444"/>
      <c r="B612" s="42" t="s">
        <v>26</v>
      </c>
      <c r="C612" s="95" t="s">
        <v>44</v>
      </c>
      <c r="D612" s="96">
        <v>0.83333333333333337</v>
      </c>
      <c r="E612" s="96">
        <v>0.91666666666666663</v>
      </c>
      <c r="F612" s="300" t="s">
        <v>134</v>
      </c>
      <c r="G612" s="129"/>
      <c r="H612" s="450"/>
      <c r="I612" s="450"/>
      <c r="J612" s="450"/>
      <c r="K612" s="453"/>
      <c r="L612" s="82"/>
      <c r="M612" s="82"/>
      <c r="N612" s="82"/>
      <c r="O612" s="82"/>
      <c r="P612" s="82"/>
    </row>
    <row r="613" spans="1:16" ht="19.5" customHeight="1" x14ac:dyDescent="0.2">
      <c r="A613" s="655" t="s">
        <v>27</v>
      </c>
      <c r="B613" s="656" t="s">
        <v>17</v>
      </c>
      <c r="C613" s="657" t="s">
        <v>87</v>
      </c>
      <c r="D613" s="658">
        <v>0.75</v>
      </c>
      <c r="E613" s="658">
        <v>0.83333333333333337</v>
      </c>
      <c r="F613" s="659"/>
      <c r="G613" s="660"/>
      <c r="H613" s="661">
        <v>5</v>
      </c>
      <c r="I613" s="662"/>
      <c r="J613" s="663">
        <f>SUM(H613:I613)</f>
        <v>5</v>
      </c>
      <c r="K613" s="117" t="s">
        <v>412</v>
      </c>
      <c r="L613" s="82"/>
      <c r="M613" s="82"/>
      <c r="N613" s="82"/>
      <c r="O613" s="82"/>
      <c r="P613" s="82"/>
    </row>
    <row r="614" spans="1:16" ht="19.5" customHeight="1" x14ac:dyDescent="0.2">
      <c r="A614" s="664"/>
      <c r="B614" s="656" t="s">
        <v>26</v>
      </c>
      <c r="C614" s="657" t="s">
        <v>87</v>
      </c>
      <c r="D614" s="658">
        <v>0.83333333333333337</v>
      </c>
      <c r="E614" s="658">
        <v>0.91666666666666663</v>
      </c>
      <c r="F614" s="659"/>
      <c r="G614" s="660"/>
      <c r="H614" s="665"/>
      <c r="I614" s="665"/>
      <c r="J614" s="665"/>
      <c r="K614" s="117"/>
      <c r="L614" s="82"/>
      <c r="M614" s="82"/>
      <c r="N614" s="82"/>
      <c r="O614" s="82"/>
      <c r="P614" s="82"/>
    </row>
    <row r="615" spans="1:16" ht="19.5" customHeight="1" x14ac:dyDescent="0.2">
      <c r="A615" s="82"/>
      <c r="B615" s="82"/>
      <c r="C615" s="82"/>
      <c r="D615" s="82"/>
      <c r="E615" s="82"/>
      <c r="F615" s="117"/>
      <c r="G615" s="117"/>
      <c r="H615" s="82"/>
      <c r="I615" s="82"/>
      <c r="J615" s="82"/>
      <c r="K615" s="117"/>
      <c r="L615" s="82"/>
      <c r="M615" s="82"/>
      <c r="N615" s="82"/>
      <c r="O615" s="82"/>
      <c r="P615" s="82"/>
    </row>
    <row r="616" spans="1:16" ht="19.5" customHeight="1" x14ac:dyDescent="0.2">
      <c r="A616" s="82"/>
      <c r="B616" s="82"/>
      <c r="C616" s="82"/>
      <c r="D616" s="82"/>
      <c r="E616" s="82"/>
      <c r="F616" s="117"/>
      <c r="G616" s="117"/>
      <c r="H616" s="82"/>
      <c r="I616" s="82"/>
      <c r="J616" s="82"/>
      <c r="K616" s="117"/>
      <c r="L616" s="82"/>
      <c r="M616" s="82"/>
      <c r="N616" s="82"/>
      <c r="O616" s="82"/>
      <c r="P616" s="82"/>
    </row>
    <row r="617" spans="1:16" ht="19.5" customHeight="1" x14ac:dyDescent="0.2">
      <c r="A617" s="82"/>
      <c r="B617" s="82"/>
      <c r="C617" s="82"/>
      <c r="D617" s="82"/>
      <c r="E617" s="82"/>
      <c r="F617" s="117"/>
      <c r="G617" s="117"/>
      <c r="H617" s="82"/>
      <c r="I617" s="82"/>
      <c r="J617" s="82"/>
      <c r="K617" s="117"/>
      <c r="L617" s="82"/>
      <c r="M617" s="82"/>
      <c r="N617" s="82"/>
      <c r="O617" s="82"/>
      <c r="P617" s="82"/>
    </row>
    <row r="618" spans="1:16" ht="19.5" customHeight="1" x14ac:dyDescent="0.2">
      <c r="A618" s="82"/>
      <c r="B618" s="82"/>
      <c r="C618" s="82"/>
      <c r="D618" s="82"/>
      <c r="E618" s="82"/>
      <c r="F618" s="117"/>
      <c r="G618" s="117"/>
      <c r="H618" s="82"/>
      <c r="I618" s="82"/>
      <c r="J618" s="82"/>
      <c r="K618" s="117"/>
      <c r="L618" s="82"/>
      <c r="M618" s="82"/>
      <c r="N618" s="82"/>
      <c r="O618" s="82"/>
      <c r="P618" s="82"/>
    </row>
    <row r="619" spans="1:16" ht="19.5" customHeight="1" x14ac:dyDescent="0.2">
      <c r="A619" s="82"/>
      <c r="B619" s="82"/>
      <c r="C619" s="82"/>
      <c r="D619" s="82"/>
      <c r="E619" s="82"/>
      <c r="F619" s="117"/>
      <c r="G619" s="117"/>
      <c r="H619" s="82"/>
      <c r="I619" s="82"/>
      <c r="J619" s="82"/>
      <c r="K619" s="117"/>
      <c r="L619" s="82"/>
      <c r="M619" s="82"/>
      <c r="N619" s="82"/>
      <c r="O619" s="82"/>
      <c r="P619" s="82"/>
    </row>
    <row r="620" spans="1:16" ht="19.5" customHeight="1" x14ac:dyDescent="0.2">
      <c r="A620" s="82"/>
      <c r="B620" s="82"/>
      <c r="C620" s="82"/>
      <c r="D620" s="82"/>
      <c r="E620" s="82"/>
      <c r="F620" s="117"/>
      <c r="G620" s="117"/>
      <c r="H620" s="82"/>
      <c r="I620" s="82"/>
      <c r="J620" s="82"/>
      <c r="K620" s="117"/>
      <c r="L620" s="82"/>
      <c r="M620" s="82"/>
      <c r="N620" s="82"/>
      <c r="O620" s="82"/>
      <c r="P620" s="82"/>
    </row>
    <row r="621" spans="1:16" ht="19.5" customHeight="1" x14ac:dyDescent="0.2">
      <c r="A621" s="82"/>
      <c r="B621" s="82"/>
      <c r="C621" s="82"/>
      <c r="D621" s="82"/>
      <c r="E621" s="82"/>
      <c r="F621" s="117"/>
      <c r="G621" s="117"/>
      <c r="H621" s="82"/>
      <c r="I621" s="82"/>
      <c r="J621" s="82"/>
      <c r="K621" s="117"/>
      <c r="L621" s="82"/>
      <c r="M621" s="82"/>
      <c r="N621" s="82"/>
      <c r="O621" s="82"/>
      <c r="P621" s="82"/>
    </row>
    <row r="622" spans="1:16" ht="19.5" customHeight="1" x14ac:dyDescent="0.2">
      <c r="A622" s="82"/>
      <c r="B622" s="82"/>
      <c r="C622" s="82"/>
      <c r="D622" s="82"/>
      <c r="E622" s="82"/>
      <c r="F622" s="117"/>
      <c r="G622" s="117"/>
      <c r="H622" s="82"/>
      <c r="I622" s="82"/>
      <c r="J622" s="82"/>
      <c r="K622" s="117"/>
      <c r="L622" s="82"/>
      <c r="M622" s="82"/>
      <c r="N622" s="82"/>
      <c r="O622" s="82"/>
      <c r="P622" s="82"/>
    </row>
    <row r="623" spans="1:16" ht="19.5" customHeight="1" x14ac:dyDescent="0.2">
      <c r="A623" s="82"/>
      <c r="B623" s="82"/>
      <c r="C623" s="82"/>
      <c r="D623" s="82"/>
      <c r="E623" s="82"/>
      <c r="F623" s="117"/>
      <c r="G623" s="117"/>
      <c r="H623" s="82"/>
      <c r="I623" s="82"/>
      <c r="J623" s="82"/>
      <c r="K623" s="117"/>
      <c r="L623" s="82"/>
      <c r="M623" s="82"/>
      <c r="N623" s="82"/>
      <c r="O623" s="82"/>
      <c r="P623" s="82"/>
    </row>
    <row r="624" spans="1:16" ht="19.5" customHeight="1" x14ac:dyDescent="0.2">
      <c r="A624" s="82"/>
      <c r="B624" s="82"/>
      <c r="C624" s="82"/>
      <c r="D624" s="82"/>
      <c r="E624" s="82"/>
      <c r="F624" s="117"/>
      <c r="G624" s="117"/>
      <c r="H624" s="82"/>
      <c r="I624" s="82"/>
      <c r="J624" s="82"/>
      <c r="K624" s="117"/>
      <c r="L624" s="82"/>
      <c r="M624" s="82"/>
      <c r="N624" s="82"/>
      <c r="O624" s="82"/>
      <c r="P624" s="82"/>
    </row>
    <row r="625" spans="1:16" ht="19.5" customHeight="1" x14ac:dyDescent="0.2">
      <c r="A625" s="82"/>
      <c r="B625" s="82"/>
      <c r="C625" s="82"/>
      <c r="D625" s="82"/>
      <c r="E625" s="82"/>
      <c r="F625" s="117"/>
      <c r="G625" s="117"/>
      <c r="H625" s="82"/>
      <c r="I625" s="82"/>
      <c r="J625" s="82"/>
      <c r="K625" s="117"/>
      <c r="L625" s="82"/>
      <c r="M625" s="82"/>
      <c r="N625" s="82"/>
      <c r="O625" s="82"/>
      <c r="P625" s="82"/>
    </row>
    <row r="626" spans="1:16" ht="19.5" customHeight="1" x14ac:dyDescent="0.2">
      <c r="A626" s="82"/>
      <c r="B626" s="82"/>
      <c r="C626" s="82"/>
      <c r="D626" s="82"/>
      <c r="E626" s="82"/>
      <c r="F626" s="117"/>
      <c r="G626" s="117"/>
      <c r="H626" s="82"/>
      <c r="I626" s="82"/>
      <c r="J626" s="82"/>
      <c r="K626" s="117"/>
      <c r="L626" s="82"/>
      <c r="M626" s="82"/>
      <c r="N626" s="82"/>
      <c r="O626" s="82"/>
      <c r="P626" s="82"/>
    </row>
    <row r="627" spans="1:16" ht="19.5" customHeight="1" x14ac:dyDescent="0.2">
      <c r="A627" s="82"/>
      <c r="B627" s="82"/>
      <c r="C627" s="82"/>
      <c r="D627" s="82"/>
      <c r="E627" s="82"/>
      <c r="F627" s="117"/>
      <c r="G627" s="117"/>
      <c r="H627" s="82"/>
      <c r="I627" s="82"/>
      <c r="J627" s="82"/>
      <c r="K627" s="117"/>
      <c r="L627" s="82"/>
      <c r="M627" s="82"/>
      <c r="N627" s="82"/>
      <c r="O627" s="82"/>
      <c r="P627" s="82"/>
    </row>
    <row r="628" spans="1:16" ht="19.5" customHeight="1" x14ac:dyDescent="0.2">
      <c r="A628" s="82"/>
      <c r="B628" s="82"/>
      <c r="C628" s="82"/>
      <c r="D628" s="82"/>
      <c r="E628" s="82"/>
      <c r="F628" s="117"/>
      <c r="G628" s="117"/>
      <c r="H628" s="82"/>
      <c r="I628" s="82"/>
      <c r="J628" s="82"/>
      <c r="K628" s="117"/>
      <c r="L628" s="82"/>
      <c r="M628" s="82"/>
      <c r="N628" s="82"/>
      <c r="O628" s="82"/>
      <c r="P628" s="82"/>
    </row>
    <row r="629" spans="1:16" ht="19.5" customHeight="1" x14ac:dyDescent="0.2">
      <c r="A629" s="82"/>
      <c r="B629" s="82"/>
      <c r="C629" s="82"/>
      <c r="D629" s="82"/>
      <c r="E629" s="82"/>
      <c r="F629" s="117"/>
      <c r="G629" s="117"/>
      <c r="H629" s="82"/>
      <c r="I629" s="82"/>
      <c r="J629" s="82"/>
      <c r="K629" s="117"/>
      <c r="L629" s="82"/>
      <c r="M629" s="82"/>
      <c r="N629" s="82"/>
      <c r="O629" s="82"/>
      <c r="P629" s="82"/>
    </row>
    <row r="630" spans="1:16" ht="19.5" customHeight="1" x14ac:dyDescent="0.2">
      <c r="A630" s="82"/>
      <c r="B630" s="82"/>
      <c r="C630" s="82"/>
      <c r="D630" s="82"/>
      <c r="E630" s="82"/>
      <c r="F630" s="117"/>
      <c r="G630" s="117"/>
      <c r="H630" s="82"/>
      <c r="I630" s="82"/>
      <c r="J630" s="82"/>
      <c r="K630" s="117"/>
      <c r="L630" s="82"/>
      <c r="M630" s="82"/>
      <c r="N630" s="82"/>
      <c r="O630" s="82"/>
      <c r="P630" s="82"/>
    </row>
    <row r="631" spans="1:16" ht="19.5" customHeight="1" x14ac:dyDescent="0.2">
      <c r="A631" s="82"/>
      <c r="B631" s="82"/>
      <c r="C631" s="82"/>
      <c r="D631" s="82"/>
      <c r="E631" s="82"/>
      <c r="F631" s="117"/>
      <c r="G631" s="117"/>
      <c r="H631" s="82"/>
      <c r="I631" s="82"/>
      <c r="J631" s="82"/>
      <c r="K631" s="117"/>
      <c r="L631" s="82"/>
      <c r="M631" s="82"/>
      <c r="N631" s="82"/>
      <c r="O631" s="82"/>
      <c r="P631" s="82"/>
    </row>
    <row r="632" spans="1:16" ht="19.5" customHeight="1" x14ac:dyDescent="0.2">
      <c r="A632" s="82"/>
      <c r="B632" s="82"/>
      <c r="C632" s="82"/>
      <c r="D632" s="82"/>
      <c r="E632" s="82"/>
      <c r="F632" s="117"/>
      <c r="G632" s="117"/>
      <c r="H632" s="82"/>
      <c r="I632" s="82"/>
      <c r="J632" s="82"/>
      <c r="K632" s="117"/>
      <c r="L632" s="82"/>
      <c r="M632" s="82"/>
      <c r="N632" s="82"/>
      <c r="O632" s="82"/>
      <c r="P632" s="82"/>
    </row>
    <row r="633" spans="1:16" ht="19.5" customHeight="1" x14ac:dyDescent="0.2">
      <c r="A633" s="82"/>
      <c r="B633" s="82"/>
      <c r="C633" s="82"/>
      <c r="D633" s="82"/>
      <c r="E633" s="82"/>
      <c r="F633" s="117"/>
      <c r="G633" s="117"/>
      <c r="H633" s="82"/>
      <c r="I633" s="82"/>
      <c r="J633" s="82"/>
      <c r="K633" s="117"/>
      <c r="L633" s="82"/>
      <c r="M633" s="82"/>
      <c r="N633" s="82"/>
      <c r="O633" s="82"/>
      <c r="P633" s="82"/>
    </row>
    <row r="634" spans="1:16" ht="19.5" customHeight="1" x14ac:dyDescent="0.2">
      <c r="A634" s="82"/>
      <c r="B634" s="82"/>
      <c r="C634" s="82"/>
      <c r="D634" s="82"/>
      <c r="E634" s="82"/>
      <c r="F634" s="117"/>
      <c r="G634" s="117"/>
      <c r="H634" s="82"/>
      <c r="I634" s="82"/>
      <c r="J634" s="82"/>
      <c r="K634" s="117"/>
      <c r="L634" s="82"/>
      <c r="M634" s="82"/>
      <c r="N634" s="82"/>
      <c r="O634" s="82"/>
      <c r="P634" s="82"/>
    </row>
    <row r="635" spans="1:16" ht="19.5" customHeight="1" x14ac:dyDescent="0.2">
      <c r="A635" s="82"/>
      <c r="B635" s="82"/>
      <c r="C635" s="82"/>
      <c r="D635" s="82"/>
      <c r="E635" s="82"/>
      <c r="F635" s="117"/>
      <c r="G635" s="117"/>
      <c r="H635" s="82"/>
      <c r="I635" s="82"/>
      <c r="J635" s="82"/>
      <c r="K635" s="117"/>
      <c r="L635" s="82"/>
      <c r="M635" s="82"/>
      <c r="N635" s="82"/>
      <c r="O635" s="82"/>
      <c r="P635" s="82"/>
    </row>
    <row r="636" spans="1:16" ht="19.5" customHeight="1" x14ac:dyDescent="0.2">
      <c r="A636" s="82"/>
      <c r="B636" s="82"/>
      <c r="C636" s="82"/>
      <c r="D636" s="82"/>
      <c r="E636" s="82"/>
      <c r="F636" s="117"/>
      <c r="G636" s="117"/>
      <c r="H636" s="82"/>
      <c r="I636" s="82"/>
      <c r="J636" s="82"/>
      <c r="K636" s="117"/>
      <c r="L636" s="82"/>
      <c r="M636" s="82"/>
      <c r="N636" s="82"/>
      <c r="O636" s="82"/>
      <c r="P636" s="82"/>
    </row>
    <row r="637" spans="1:16" ht="19.5" customHeight="1" x14ac:dyDescent="0.2">
      <c r="A637" s="82"/>
      <c r="B637" s="82"/>
      <c r="C637" s="82"/>
      <c r="D637" s="82"/>
      <c r="E637" s="82"/>
      <c r="F637" s="117"/>
      <c r="G637" s="117"/>
      <c r="H637" s="82"/>
      <c r="I637" s="82"/>
      <c r="J637" s="82"/>
      <c r="K637" s="117"/>
      <c r="L637" s="82"/>
      <c r="M637" s="82"/>
      <c r="N637" s="82"/>
      <c r="O637" s="82"/>
      <c r="P637" s="82"/>
    </row>
    <row r="638" spans="1:16" ht="19.5" customHeight="1" x14ac:dyDescent="0.2">
      <c r="A638" s="82"/>
      <c r="B638" s="82"/>
      <c r="C638" s="82"/>
      <c r="D638" s="82"/>
      <c r="E638" s="82"/>
      <c r="F638" s="117"/>
      <c r="G638" s="117"/>
      <c r="H638" s="82"/>
      <c r="I638" s="82"/>
      <c r="J638" s="82"/>
      <c r="K638" s="117"/>
      <c r="L638" s="82"/>
      <c r="M638" s="82"/>
      <c r="N638" s="82"/>
      <c r="O638" s="82"/>
      <c r="P638" s="82"/>
    </row>
    <row r="639" spans="1:16" ht="19.5" customHeight="1" x14ac:dyDescent="0.2">
      <c r="A639" s="82"/>
      <c r="B639" s="82"/>
      <c r="C639" s="82"/>
      <c r="D639" s="82"/>
      <c r="E639" s="82"/>
      <c r="F639" s="117"/>
      <c r="G639" s="117"/>
      <c r="H639" s="82"/>
      <c r="I639" s="82"/>
      <c r="J639" s="82"/>
      <c r="K639" s="117"/>
      <c r="L639" s="82"/>
      <c r="M639" s="82"/>
      <c r="N639" s="82"/>
      <c r="O639" s="82"/>
      <c r="P639" s="82"/>
    </row>
    <row r="640" spans="1:16" ht="19.5" customHeight="1" x14ac:dyDescent="0.2">
      <c r="A640" s="82"/>
      <c r="B640" s="82"/>
      <c r="C640" s="82"/>
      <c r="D640" s="82"/>
      <c r="E640" s="82"/>
      <c r="F640" s="117"/>
      <c r="G640" s="117"/>
      <c r="H640" s="82"/>
      <c r="I640" s="82"/>
      <c r="J640" s="82"/>
      <c r="K640" s="117"/>
      <c r="L640" s="82"/>
      <c r="M640" s="82"/>
      <c r="N640" s="82"/>
      <c r="O640" s="82"/>
      <c r="P640" s="82"/>
    </row>
    <row r="641" spans="1:16" ht="19.5" customHeight="1" x14ac:dyDescent="0.2">
      <c r="A641" s="82"/>
      <c r="B641" s="82"/>
      <c r="C641" s="82"/>
      <c r="D641" s="82"/>
      <c r="E641" s="82"/>
      <c r="F641" s="117"/>
      <c r="G641" s="117"/>
      <c r="H641" s="82"/>
      <c r="I641" s="82"/>
      <c r="J641" s="82"/>
      <c r="K641" s="117"/>
      <c r="L641" s="82"/>
      <c r="M641" s="82"/>
      <c r="N641" s="82"/>
      <c r="O641" s="82"/>
      <c r="P641" s="82"/>
    </row>
    <row r="642" spans="1:16" ht="19.5" customHeight="1" x14ac:dyDescent="0.2">
      <c r="A642" s="82"/>
      <c r="B642" s="82"/>
      <c r="C642" s="82"/>
      <c r="D642" s="82"/>
      <c r="E642" s="82"/>
      <c r="F642" s="117"/>
      <c r="G642" s="117"/>
      <c r="H642" s="82"/>
      <c r="I642" s="82"/>
      <c r="J642" s="82"/>
      <c r="K642" s="117"/>
      <c r="L642" s="82"/>
      <c r="M642" s="82"/>
      <c r="N642" s="82"/>
      <c r="O642" s="82"/>
      <c r="P642" s="82"/>
    </row>
    <row r="643" spans="1:16" ht="19.5" customHeight="1" x14ac:dyDescent="0.2">
      <c r="A643" s="82"/>
      <c r="B643" s="82"/>
      <c r="C643" s="82"/>
      <c r="D643" s="82"/>
      <c r="E643" s="82"/>
      <c r="F643" s="117"/>
      <c r="G643" s="117"/>
      <c r="H643" s="82"/>
      <c r="I643" s="82"/>
      <c r="J643" s="82"/>
      <c r="K643" s="117"/>
      <c r="L643" s="82"/>
      <c r="M643" s="82"/>
      <c r="N643" s="82"/>
      <c r="O643" s="82"/>
      <c r="P643" s="82"/>
    </row>
    <row r="644" spans="1:16" ht="19.5" customHeight="1" x14ac:dyDescent="0.2">
      <c r="A644" s="82"/>
      <c r="B644" s="82"/>
      <c r="C644" s="82"/>
      <c r="D644" s="82"/>
      <c r="E644" s="82"/>
      <c r="F644" s="117"/>
      <c r="G644" s="117"/>
      <c r="H644" s="82"/>
      <c r="I644" s="82"/>
      <c r="J644" s="82"/>
      <c r="K644" s="117"/>
      <c r="L644" s="82"/>
      <c r="M644" s="82"/>
      <c r="N644" s="82"/>
      <c r="O644" s="82"/>
      <c r="P644" s="82"/>
    </row>
    <row r="645" spans="1:16" ht="19.5" customHeight="1" x14ac:dyDescent="0.2">
      <c r="A645" s="82"/>
      <c r="B645" s="82"/>
      <c r="C645" s="82"/>
      <c r="D645" s="82"/>
      <c r="E645" s="82"/>
      <c r="F645" s="117"/>
      <c r="G645" s="117"/>
      <c r="H645" s="82"/>
      <c r="I645" s="82"/>
      <c r="J645" s="82"/>
      <c r="K645" s="117"/>
      <c r="L645" s="82"/>
      <c r="M645" s="82"/>
      <c r="N645" s="82"/>
      <c r="O645" s="82"/>
      <c r="P645" s="82"/>
    </row>
    <row r="646" spans="1:16" ht="19.5" customHeight="1" x14ac:dyDescent="0.2">
      <c r="A646" s="82"/>
      <c r="B646" s="82"/>
      <c r="C646" s="82"/>
      <c r="D646" s="82"/>
      <c r="E646" s="82"/>
      <c r="F646" s="117"/>
      <c r="G646" s="117"/>
      <c r="H646" s="82"/>
      <c r="I646" s="82"/>
      <c r="J646" s="82"/>
      <c r="K646" s="117"/>
      <c r="L646" s="82"/>
      <c r="M646" s="82"/>
      <c r="N646" s="82"/>
      <c r="O646" s="82"/>
      <c r="P646" s="82"/>
    </row>
    <row r="647" spans="1:16" ht="19.5" customHeight="1" x14ac:dyDescent="0.2">
      <c r="A647" s="82"/>
      <c r="B647" s="82"/>
      <c r="C647" s="82"/>
      <c r="D647" s="82"/>
      <c r="E647" s="82"/>
      <c r="F647" s="117"/>
      <c r="G647" s="117"/>
      <c r="H647" s="82"/>
      <c r="I647" s="82"/>
      <c r="J647" s="82"/>
      <c r="K647" s="117"/>
      <c r="L647" s="82"/>
      <c r="M647" s="82"/>
      <c r="N647" s="82"/>
      <c r="O647" s="82"/>
      <c r="P647" s="82"/>
    </row>
    <row r="648" spans="1:16" ht="19.5" customHeight="1" x14ac:dyDescent="0.2">
      <c r="A648" s="82"/>
      <c r="B648" s="82"/>
      <c r="C648" s="82"/>
      <c r="D648" s="82"/>
      <c r="E648" s="82"/>
      <c r="F648" s="117"/>
      <c r="G648" s="117"/>
      <c r="H648" s="82"/>
      <c r="I648" s="82"/>
      <c r="J648" s="82"/>
      <c r="K648" s="117"/>
      <c r="L648" s="82"/>
      <c r="M648" s="82"/>
      <c r="N648" s="82"/>
      <c r="O648" s="82"/>
      <c r="P648" s="82"/>
    </row>
    <row r="649" spans="1:16" ht="19.5" customHeight="1" x14ac:dyDescent="0.2">
      <c r="A649" s="82"/>
      <c r="B649" s="82"/>
      <c r="C649" s="82"/>
      <c r="D649" s="82"/>
      <c r="E649" s="82"/>
      <c r="F649" s="117"/>
      <c r="G649" s="117"/>
      <c r="H649" s="82"/>
      <c r="I649" s="82"/>
      <c r="J649" s="82"/>
      <c r="K649" s="117"/>
      <c r="L649" s="82"/>
      <c r="M649" s="82"/>
      <c r="N649" s="82"/>
      <c r="O649" s="82"/>
      <c r="P649" s="82"/>
    </row>
    <row r="650" spans="1:16" ht="19.5" customHeight="1" x14ac:dyDescent="0.2">
      <c r="A650" s="82"/>
      <c r="B650" s="82"/>
      <c r="C650" s="82"/>
      <c r="D650" s="82"/>
      <c r="E650" s="82"/>
      <c r="F650" s="117"/>
      <c r="G650" s="117"/>
      <c r="H650" s="82"/>
      <c r="I650" s="82"/>
      <c r="J650" s="82"/>
      <c r="K650" s="117"/>
      <c r="L650" s="82"/>
      <c r="M650" s="82"/>
      <c r="N650" s="82"/>
      <c r="O650" s="82"/>
      <c r="P650" s="82"/>
    </row>
    <row r="651" spans="1:16" ht="19.5" customHeight="1" x14ac:dyDescent="0.2">
      <c r="A651" s="82"/>
      <c r="B651" s="82"/>
      <c r="C651" s="82"/>
      <c r="D651" s="82"/>
      <c r="E651" s="82"/>
      <c r="F651" s="117"/>
      <c r="G651" s="117"/>
      <c r="H651" s="82"/>
      <c r="I651" s="82"/>
      <c r="J651" s="82"/>
      <c r="K651" s="117"/>
      <c r="L651" s="82"/>
      <c r="M651" s="82"/>
      <c r="N651" s="82"/>
      <c r="O651" s="82"/>
      <c r="P651" s="82"/>
    </row>
    <row r="652" spans="1:16" ht="19.5" customHeight="1" x14ac:dyDescent="0.2">
      <c r="A652" s="82"/>
      <c r="B652" s="82"/>
      <c r="C652" s="82"/>
      <c r="D652" s="82"/>
      <c r="E652" s="82"/>
      <c r="F652" s="117"/>
      <c r="G652" s="117"/>
      <c r="H652" s="82"/>
      <c r="I652" s="82"/>
      <c r="J652" s="82"/>
      <c r="K652" s="117"/>
      <c r="L652" s="82"/>
      <c r="M652" s="82"/>
      <c r="N652" s="82"/>
      <c r="O652" s="82"/>
      <c r="P652" s="82"/>
    </row>
    <row r="653" spans="1:16" ht="19.5" customHeight="1" x14ac:dyDescent="0.2">
      <c r="A653" s="82"/>
      <c r="B653" s="82"/>
      <c r="C653" s="82"/>
      <c r="D653" s="82"/>
      <c r="E653" s="82"/>
      <c r="F653" s="117"/>
      <c r="G653" s="117"/>
      <c r="H653" s="82"/>
      <c r="I653" s="82"/>
      <c r="J653" s="82"/>
      <c r="K653" s="117"/>
      <c r="L653" s="82"/>
      <c r="M653" s="82"/>
      <c r="N653" s="82"/>
      <c r="O653" s="82"/>
      <c r="P653" s="82"/>
    </row>
    <row r="654" spans="1:16" ht="19.5" customHeight="1" x14ac:dyDescent="0.2">
      <c r="A654" s="82"/>
      <c r="B654" s="82"/>
      <c r="C654" s="82"/>
      <c r="D654" s="82"/>
      <c r="E654" s="82"/>
      <c r="F654" s="117"/>
      <c r="G654" s="117"/>
      <c r="H654" s="82"/>
      <c r="I654" s="82"/>
      <c r="J654" s="82"/>
      <c r="K654" s="117"/>
      <c r="L654" s="82"/>
      <c r="M654" s="82"/>
      <c r="N654" s="82"/>
      <c r="O654" s="82"/>
      <c r="P654" s="82"/>
    </row>
    <row r="655" spans="1:16" ht="19.5" customHeight="1" x14ac:dyDescent="0.2">
      <c r="A655" s="82"/>
      <c r="B655" s="82"/>
      <c r="C655" s="82"/>
      <c r="D655" s="82"/>
      <c r="E655" s="82"/>
      <c r="F655" s="117"/>
      <c r="G655" s="117"/>
      <c r="H655" s="82"/>
      <c r="I655" s="82"/>
      <c r="J655" s="82"/>
      <c r="K655" s="117"/>
      <c r="L655" s="82"/>
      <c r="M655" s="82"/>
      <c r="N655" s="82"/>
      <c r="O655" s="82"/>
      <c r="P655" s="82"/>
    </row>
    <row r="656" spans="1:16" ht="19.5" customHeight="1" x14ac:dyDescent="0.2">
      <c r="A656" s="82"/>
      <c r="B656" s="82"/>
      <c r="C656" s="82"/>
      <c r="D656" s="82"/>
      <c r="E656" s="82"/>
      <c r="F656" s="117"/>
      <c r="G656" s="117"/>
      <c r="H656" s="82"/>
      <c r="I656" s="82"/>
      <c r="J656" s="82"/>
      <c r="K656" s="117"/>
      <c r="L656" s="82"/>
      <c r="M656" s="82"/>
      <c r="N656" s="82"/>
      <c r="O656" s="82"/>
      <c r="P656" s="82"/>
    </row>
    <row r="657" spans="1:16" ht="19.5" customHeight="1" x14ac:dyDescent="0.2">
      <c r="A657" s="82"/>
      <c r="B657" s="82"/>
      <c r="C657" s="82"/>
      <c r="D657" s="82"/>
      <c r="E657" s="82"/>
      <c r="F657" s="117"/>
      <c r="G657" s="117"/>
      <c r="H657" s="82"/>
      <c r="I657" s="82"/>
      <c r="J657" s="82"/>
      <c r="K657" s="117"/>
      <c r="L657" s="82"/>
      <c r="M657" s="82"/>
      <c r="N657" s="82"/>
      <c r="O657" s="82"/>
      <c r="P657" s="82"/>
    </row>
    <row r="658" spans="1:16" ht="19.5" customHeight="1" x14ac:dyDescent="0.2">
      <c r="A658" s="82"/>
      <c r="B658" s="82"/>
      <c r="C658" s="82"/>
      <c r="D658" s="82"/>
      <c r="E658" s="82"/>
      <c r="F658" s="117"/>
      <c r="G658" s="117"/>
      <c r="H658" s="82"/>
      <c r="I658" s="82"/>
      <c r="J658" s="82"/>
      <c r="K658" s="117"/>
      <c r="L658" s="82"/>
      <c r="M658" s="82"/>
      <c r="N658" s="82"/>
      <c r="O658" s="82"/>
      <c r="P658" s="82"/>
    </row>
    <row r="659" spans="1:16" ht="19.5" customHeight="1" x14ac:dyDescent="0.2">
      <c r="A659" s="82"/>
      <c r="B659" s="82"/>
      <c r="C659" s="82"/>
      <c r="D659" s="82"/>
      <c r="E659" s="82"/>
      <c r="F659" s="117"/>
      <c r="G659" s="117"/>
      <c r="H659" s="82"/>
      <c r="I659" s="82"/>
      <c r="J659" s="82"/>
      <c r="K659" s="117"/>
      <c r="L659" s="82"/>
      <c r="M659" s="82"/>
      <c r="N659" s="82"/>
      <c r="O659" s="82"/>
      <c r="P659" s="82"/>
    </row>
    <row r="660" spans="1:16" ht="19.5" customHeight="1" x14ac:dyDescent="0.2">
      <c r="A660" s="82"/>
      <c r="B660" s="82"/>
      <c r="C660" s="82"/>
      <c r="D660" s="82"/>
      <c r="E660" s="82"/>
      <c r="F660" s="117"/>
      <c r="G660" s="117"/>
      <c r="H660" s="82"/>
      <c r="I660" s="82"/>
      <c r="J660" s="82"/>
      <c r="K660" s="117"/>
      <c r="L660" s="82"/>
      <c r="M660" s="82"/>
      <c r="N660" s="82"/>
      <c r="O660" s="82"/>
      <c r="P660" s="82"/>
    </row>
    <row r="661" spans="1:16" ht="19.5" customHeight="1" x14ac:dyDescent="0.2">
      <c r="A661" s="82"/>
      <c r="B661" s="82"/>
      <c r="C661" s="82"/>
      <c r="D661" s="82"/>
      <c r="E661" s="82"/>
      <c r="F661" s="117"/>
      <c r="G661" s="117"/>
      <c r="H661" s="82"/>
      <c r="I661" s="82"/>
      <c r="J661" s="82"/>
      <c r="K661" s="117"/>
      <c r="L661" s="82"/>
      <c r="M661" s="82"/>
      <c r="N661" s="82"/>
      <c r="O661" s="82"/>
      <c r="P661" s="82"/>
    </row>
    <row r="662" spans="1:16" ht="19.5" customHeight="1" x14ac:dyDescent="0.2">
      <c r="A662" s="82"/>
      <c r="B662" s="82"/>
      <c r="C662" s="82"/>
      <c r="D662" s="82"/>
      <c r="E662" s="82"/>
      <c r="F662" s="117"/>
      <c r="G662" s="117"/>
      <c r="H662" s="82"/>
      <c r="I662" s="82"/>
      <c r="J662" s="82"/>
      <c r="K662" s="117"/>
      <c r="L662" s="82"/>
      <c r="M662" s="82"/>
      <c r="N662" s="82"/>
      <c r="O662" s="82"/>
      <c r="P662" s="82"/>
    </row>
    <row r="663" spans="1:16" ht="19.5" customHeight="1" x14ac:dyDescent="0.2">
      <c r="A663" s="82"/>
      <c r="B663" s="82"/>
      <c r="C663" s="82"/>
      <c r="D663" s="82"/>
      <c r="E663" s="82"/>
      <c r="F663" s="117"/>
      <c r="G663" s="117"/>
      <c r="H663" s="82"/>
      <c r="I663" s="82"/>
      <c r="J663" s="82"/>
      <c r="K663" s="117"/>
      <c r="L663" s="82"/>
      <c r="M663" s="82"/>
      <c r="N663" s="82"/>
      <c r="O663" s="82"/>
      <c r="P663" s="82"/>
    </row>
    <row r="664" spans="1:16" ht="19.5" customHeight="1" x14ac:dyDescent="0.2">
      <c r="A664" s="82"/>
      <c r="B664" s="82"/>
      <c r="C664" s="82"/>
      <c r="D664" s="82"/>
      <c r="E664" s="82"/>
      <c r="F664" s="117"/>
      <c r="G664" s="117"/>
      <c r="H664" s="82"/>
      <c r="I664" s="82"/>
      <c r="J664" s="82"/>
      <c r="K664" s="117"/>
      <c r="L664" s="82"/>
      <c r="M664" s="82"/>
      <c r="N664" s="82"/>
      <c r="O664" s="82"/>
      <c r="P664" s="82"/>
    </row>
    <row r="665" spans="1:16" ht="19.5" customHeight="1" x14ac:dyDescent="0.2">
      <c r="A665" s="82"/>
      <c r="B665" s="82"/>
      <c r="C665" s="82"/>
      <c r="D665" s="82"/>
      <c r="E665" s="82"/>
      <c r="F665" s="117"/>
      <c r="G665" s="117"/>
      <c r="H665" s="82"/>
      <c r="I665" s="82"/>
      <c r="J665" s="82"/>
      <c r="K665" s="117"/>
      <c r="L665" s="82"/>
      <c r="M665" s="82"/>
      <c r="N665" s="82"/>
      <c r="O665" s="82"/>
      <c r="P665" s="82"/>
    </row>
    <row r="666" spans="1:16" ht="19.5" customHeight="1" x14ac:dyDescent="0.2">
      <c r="A666" s="82"/>
      <c r="B666" s="82"/>
      <c r="C666" s="82"/>
      <c r="D666" s="82"/>
      <c r="E666" s="82"/>
      <c r="F666" s="117"/>
      <c r="G666" s="117"/>
      <c r="H666" s="82"/>
      <c r="I666" s="82"/>
      <c r="J666" s="82"/>
      <c r="K666" s="117"/>
      <c r="L666" s="82"/>
      <c r="M666" s="82"/>
      <c r="N666" s="82"/>
      <c r="O666" s="82"/>
      <c r="P666" s="82"/>
    </row>
    <row r="667" spans="1:16" ht="19.5" customHeight="1" x14ac:dyDescent="0.2">
      <c r="A667" s="82"/>
      <c r="B667" s="82"/>
      <c r="C667" s="82"/>
      <c r="D667" s="82"/>
      <c r="E667" s="82"/>
      <c r="F667" s="117"/>
      <c r="G667" s="117"/>
      <c r="H667" s="82"/>
      <c r="I667" s="82"/>
      <c r="J667" s="82"/>
      <c r="K667" s="117"/>
      <c r="L667" s="82"/>
      <c r="M667" s="82"/>
      <c r="N667" s="82"/>
      <c r="O667" s="82"/>
      <c r="P667" s="82"/>
    </row>
    <row r="668" spans="1:16" ht="19.5" customHeight="1" x14ac:dyDescent="0.2">
      <c r="A668" s="82"/>
      <c r="B668" s="82"/>
      <c r="C668" s="82"/>
      <c r="D668" s="82"/>
      <c r="E668" s="82"/>
      <c r="F668" s="117"/>
      <c r="G668" s="117"/>
      <c r="H668" s="82"/>
      <c r="I668" s="82"/>
      <c r="J668" s="82"/>
      <c r="K668" s="117"/>
      <c r="L668" s="82"/>
      <c r="M668" s="82"/>
      <c r="N668" s="82"/>
      <c r="O668" s="82"/>
      <c r="P668" s="82"/>
    </row>
    <row r="669" spans="1:16" ht="19.5" customHeight="1" x14ac:dyDescent="0.2">
      <c r="A669" s="82"/>
      <c r="B669" s="82"/>
      <c r="C669" s="82"/>
      <c r="D669" s="82"/>
      <c r="E669" s="82"/>
      <c r="F669" s="117"/>
      <c r="G669" s="117"/>
      <c r="H669" s="82"/>
      <c r="I669" s="82"/>
      <c r="J669" s="82"/>
      <c r="K669" s="117"/>
      <c r="L669" s="82"/>
      <c r="M669" s="82"/>
      <c r="N669" s="82"/>
      <c r="O669" s="82"/>
      <c r="P669" s="82"/>
    </row>
    <row r="670" spans="1:16" ht="19.5" customHeight="1" x14ac:dyDescent="0.2">
      <c r="A670" s="82"/>
      <c r="B670" s="82"/>
      <c r="C670" s="82"/>
      <c r="D670" s="82"/>
      <c r="E670" s="82"/>
      <c r="F670" s="117"/>
      <c r="G670" s="117"/>
      <c r="H670" s="82"/>
      <c r="I670" s="82"/>
      <c r="J670" s="82"/>
      <c r="K670" s="117"/>
      <c r="L670" s="82"/>
      <c r="M670" s="82"/>
      <c r="N670" s="82"/>
      <c r="O670" s="82"/>
      <c r="P670" s="82"/>
    </row>
    <row r="671" spans="1:16" ht="19.5" customHeight="1" x14ac:dyDescent="0.2">
      <c r="A671" s="82"/>
      <c r="B671" s="82"/>
      <c r="C671" s="82"/>
      <c r="D671" s="82"/>
      <c r="E671" s="82"/>
      <c r="F671" s="117"/>
      <c r="G671" s="117"/>
      <c r="H671" s="82"/>
      <c r="I671" s="82"/>
      <c r="J671" s="82"/>
      <c r="K671" s="117"/>
      <c r="L671" s="82"/>
      <c r="M671" s="82"/>
      <c r="N671" s="82"/>
      <c r="O671" s="82"/>
      <c r="P671" s="82"/>
    </row>
    <row r="672" spans="1:16" ht="19.5" customHeight="1" x14ac:dyDescent="0.2">
      <c r="A672" s="82"/>
      <c r="B672" s="82"/>
      <c r="C672" s="82"/>
      <c r="D672" s="82"/>
      <c r="E672" s="82"/>
      <c r="F672" s="117"/>
      <c r="G672" s="117"/>
      <c r="H672" s="82"/>
      <c r="I672" s="82"/>
      <c r="J672" s="82"/>
      <c r="K672" s="117"/>
      <c r="L672" s="82"/>
      <c r="M672" s="82"/>
      <c r="N672" s="82"/>
      <c r="O672" s="82"/>
      <c r="P672" s="82"/>
    </row>
    <row r="673" spans="1:16" ht="19.5" customHeight="1" x14ac:dyDescent="0.2">
      <c r="A673" s="82"/>
      <c r="B673" s="82"/>
      <c r="C673" s="82"/>
      <c r="D673" s="82"/>
      <c r="E673" s="82"/>
      <c r="F673" s="117"/>
      <c r="G673" s="117"/>
      <c r="H673" s="82"/>
      <c r="I673" s="82"/>
      <c r="J673" s="82"/>
      <c r="K673" s="117"/>
      <c r="L673" s="82"/>
      <c r="M673" s="82"/>
      <c r="N673" s="82"/>
      <c r="O673" s="82"/>
      <c r="P673" s="82"/>
    </row>
    <row r="674" spans="1:16" ht="19.5" customHeight="1" x14ac:dyDescent="0.2">
      <c r="A674" s="82"/>
      <c r="B674" s="82"/>
      <c r="C674" s="82"/>
      <c r="D674" s="82"/>
      <c r="E674" s="82"/>
      <c r="F674" s="117"/>
      <c r="G674" s="117"/>
      <c r="H674" s="82"/>
      <c r="I674" s="82"/>
      <c r="J674" s="82"/>
      <c r="K674" s="117"/>
      <c r="L674" s="82"/>
      <c r="M674" s="82"/>
      <c r="N674" s="82"/>
      <c r="O674" s="82"/>
      <c r="P674" s="82"/>
    </row>
    <row r="675" spans="1:16" ht="19.5" customHeight="1" x14ac:dyDescent="0.2">
      <c r="A675" s="82"/>
      <c r="B675" s="82"/>
      <c r="C675" s="82"/>
      <c r="D675" s="82"/>
      <c r="E675" s="82"/>
      <c r="F675" s="117"/>
      <c r="G675" s="117"/>
      <c r="H675" s="82"/>
      <c r="I675" s="82"/>
      <c r="J675" s="82"/>
      <c r="K675" s="117"/>
      <c r="L675" s="82"/>
      <c r="M675" s="82"/>
      <c r="N675" s="82"/>
      <c r="O675" s="82"/>
      <c r="P675" s="82"/>
    </row>
    <row r="676" spans="1:16" ht="19.5" customHeight="1" x14ac:dyDescent="0.2">
      <c r="A676" s="82"/>
      <c r="B676" s="82"/>
      <c r="C676" s="82"/>
      <c r="D676" s="82"/>
      <c r="E676" s="82"/>
      <c r="F676" s="117"/>
      <c r="G676" s="117"/>
      <c r="H676" s="82"/>
      <c r="I676" s="82"/>
      <c r="J676" s="82"/>
      <c r="K676" s="117"/>
      <c r="L676" s="82"/>
      <c r="M676" s="82"/>
      <c r="N676" s="82"/>
      <c r="O676" s="82"/>
      <c r="P676" s="82"/>
    </row>
    <row r="677" spans="1:16" ht="19.5" customHeight="1" x14ac:dyDescent="0.2">
      <c r="A677" s="82"/>
      <c r="B677" s="82"/>
      <c r="C677" s="82"/>
      <c r="D677" s="82"/>
      <c r="E677" s="82"/>
      <c r="F677" s="117"/>
      <c r="G677" s="117"/>
      <c r="H677" s="82"/>
      <c r="I677" s="82"/>
      <c r="J677" s="82"/>
      <c r="K677" s="117"/>
      <c r="L677" s="82"/>
      <c r="M677" s="82"/>
      <c r="N677" s="82"/>
      <c r="O677" s="82"/>
      <c r="P677" s="82"/>
    </row>
    <row r="678" spans="1:16" ht="19.5" customHeight="1" x14ac:dyDescent="0.2">
      <c r="A678" s="82"/>
      <c r="B678" s="82"/>
      <c r="C678" s="82"/>
      <c r="D678" s="82"/>
      <c r="E678" s="82"/>
      <c r="F678" s="117"/>
      <c r="G678" s="117"/>
      <c r="H678" s="82"/>
      <c r="I678" s="82"/>
      <c r="J678" s="82"/>
      <c r="K678" s="117"/>
      <c r="L678" s="82"/>
      <c r="M678" s="82"/>
      <c r="N678" s="82"/>
      <c r="O678" s="82"/>
      <c r="P678" s="82"/>
    </row>
    <row r="679" spans="1:16" ht="19.5" customHeight="1" x14ac:dyDescent="0.2">
      <c r="A679" s="82"/>
      <c r="B679" s="82"/>
      <c r="C679" s="82"/>
      <c r="D679" s="82"/>
      <c r="E679" s="82"/>
      <c r="F679" s="117"/>
      <c r="G679" s="117"/>
      <c r="H679" s="82"/>
      <c r="I679" s="82"/>
      <c r="J679" s="82"/>
      <c r="K679" s="117"/>
      <c r="L679" s="82"/>
      <c r="M679" s="82"/>
      <c r="N679" s="82"/>
      <c r="O679" s="82"/>
      <c r="P679" s="82"/>
    </row>
    <row r="680" spans="1:16" ht="19.5" customHeight="1" x14ac:dyDescent="0.2">
      <c r="A680" s="82"/>
      <c r="B680" s="82"/>
      <c r="C680" s="82"/>
      <c r="D680" s="82"/>
      <c r="E680" s="82"/>
      <c r="F680" s="117"/>
      <c r="G680" s="117"/>
      <c r="H680" s="82"/>
      <c r="I680" s="82"/>
      <c r="J680" s="82"/>
      <c r="K680" s="117"/>
      <c r="L680" s="82"/>
      <c r="M680" s="82"/>
      <c r="N680" s="82"/>
      <c r="O680" s="82"/>
      <c r="P680" s="82"/>
    </row>
    <row r="681" spans="1:16" ht="19.5" customHeight="1" x14ac:dyDescent="0.2">
      <c r="A681" s="82"/>
      <c r="B681" s="82"/>
      <c r="C681" s="82"/>
      <c r="D681" s="82"/>
      <c r="E681" s="82"/>
      <c r="F681" s="117"/>
      <c r="G681" s="117"/>
      <c r="H681" s="82"/>
      <c r="I681" s="82"/>
      <c r="J681" s="82"/>
      <c r="K681" s="117"/>
      <c r="L681" s="82"/>
      <c r="M681" s="82"/>
      <c r="N681" s="82"/>
      <c r="O681" s="82"/>
      <c r="P681" s="82"/>
    </row>
    <row r="682" spans="1:16" ht="19.5" customHeight="1" x14ac:dyDescent="0.2">
      <c r="A682" s="82"/>
      <c r="B682" s="82"/>
      <c r="C682" s="82"/>
      <c r="D682" s="82"/>
      <c r="E682" s="82"/>
      <c r="F682" s="117"/>
      <c r="G682" s="117"/>
      <c r="H682" s="82"/>
      <c r="I682" s="82"/>
      <c r="J682" s="82"/>
      <c r="K682" s="117"/>
      <c r="L682" s="82"/>
      <c r="M682" s="82"/>
      <c r="N682" s="82"/>
      <c r="O682" s="82"/>
      <c r="P682" s="82"/>
    </row>
    <row r="683" spans="1:16" ht="19.5" customHeight="1" x14ac:dyDescent="0.2">
      <c r="A683" s="82"/>
      <c r="B683" s="82"/>
      <c r="C683" s="82"/>
      <c r="D683" s="82"/>
      <c r="E683" s="82"/>
      <c r="F683" s="117"/>
      <c r="G683" s="117"/>
      <c r="H683" s="82"/>
      <c r="I683" s="82"/>
      <c r="J683" s="82"/>
      <c r="K683" s="117"/>
      <c r="L683" s="82"/>
      <c r="M683" s="82"/>
      <c r="N683" s="82"/>
      <c r="O683" s="82"/>
      <c r="P683" s="82"/>
    </row>
    <row r="684" spans="1:16" ht="19.5" customHeight="1" x14ac:dyDescent="0.2">
      <c r="A684" s="82"/>
      <c r="B684" s="82"/>
      <c r="C684" s="82"/>
      <c r="D684" s="82"/>
      <c r="E684" s="82"/>
      <c r="F684" s="117"/>
      <c r="G684" s="117"/>
      <c r="H684" s="82"/>
      <c r="I684" s="82"/>
      <c r="J684" s="82"/>
      <c r="K684" s="117"/>
      <c r="L684" s="82"/>
      <c r="M684" s="82"/>
      <c r="N684" s="82"/>
      <c r="O684" s="82"/>
      <c r="P684" s="82"/>
    </row>
    <row r="685" spans="1:16" ht="19.5" customHeight="1" x14ac:dyDescent="0.2">
      <c r="A685" s="82"/>
      <c r="B685" s="82"/>
      <c r="C685" s="82"/>
      <c r="D685" s="82"/>
      <c r="E685" s="82"/>
      <c r="F685" s="117"/>
      <c r="G685" s="117"/>
      <c r="H685" s="82"/>
      <c r="I685" s="82"/>
      <c r="J685" s="82"/>
      <c r="K685" s="117"/>
      <c r="L685" s="82"/>
      <c r="M685" s="82"/>
      <c r="N685" s="82"/>
      <c r="O685" s="82"/>
      <c r="P685" s="82"/>
    </row>
    <row r="686" spans="1:16" ht="19.5" customHeight="1" x14ac:dyDescent="0.2">
      <c r="A686" s="82"/>
      <c r="B686" s="82"/>
      <c r="C686" s="82"/>
      <c r="D686" s="82"/>
      <c r="E686" s="82"/>
      <c r="F686" s="117"/>
      <c r="G686" s="117"/>
      <c r="H686" s="82"/>
      <c r="I686" s="82"/>
      <c r="J686" s="82"/>
      <c r="K686" s="117"/>
      <c r="L686" s="82"/>
      <c r="M686" s="82"/>
      <c r="N686" s="82"/>
      <c r="O686" s="82"/>
      <c r="P686" s="82"/>
    </row>
    <row r="687" spans="1:16" ht="19.5" customHeight="1" x14ac:dyDescent="0.2">
      <c r="A687" s="82"/>
      <c r="B687" s="82"/>
      <c r="C687" s="82"/>
      <c r="D687" s="82"/>
      <c r="E687" s="82"/>
      <c r="F687" s="117"/>
      <c r="G687" s="117"/>
      <c r="H687" s="82"/>
      <c r="I687" s="82"/>
      <c r="J687" s="82"/>
      <c r="K687" s="117"/>
      <c r="L687" s="82"/>
      <c r="M687" s="82"/>
      <c r="N687" s="82"/>
      <c r="O687" s="82"/>
      <c r="P687" s="82"/>
    </row>
    <row r="688" spans="1:16" ht="19.5" customHeight="1" x14ac:dyDescent="0.2">
      <c r="A688" s="82"/>
      <c r="B688" s="82"/>
      <c r="C688" s="82"/>
      <c r="D688" s="82"/>
      <c r="E688" s="82"/>
      <c r="F688" s="117"/>
      <c r="G688" s="117"/>
      <c r="H688" s="82"/>
      <c r="I688" s="82"/>
      <c r="J688" s="82"/>
      <c r="K688" s="117"/>
      <c r="L688" s="82"/>
      <c r="M688" s="82"/>
      <c r="N688" s="82"/>
      <c r="O688" s="82"/>
      <c r="P688" s="82"/>
    </row>
    <row r="689" spans="1:16" ht="19.5" customHeight="1" x14ac:dyDescent="0.2">
      <c r="A689" s="82"/>
      <c r="B689" s="82"/>
      <c r="C689" s="82"/>
      <c r="D689" s="82"/>
      <c r="E689" s="82"/>
      <c r="F689" s="117"/>
      <c r="G689" s="117"/>
      <c r="H689" s="82"/>
      <c r="I689" s="82"/>
      <c r="J689" s="82"/>
      <c r="K689" s="117"/>
      <c r="L689" s="82"/>
      <c r="M689" s="82"/>
      <c r="N689" s="82"/>
      <c r="O689" s="82"/>
      <c r="P689" s="82"/>
    </row>
    <row r="690" spans="1:16" ht="19.5" customHeight="1" x14ac:dyDescent="0.2">
      <c r="A690" s="82"/>
      <c r="B690" s="82"/>
      <c r="C690" s="82"/>
      <c r="D690" s="82"/>
      <c r="E690" s="82"/>
      <c r="F690" s="117"/>
      <c r="G690" s="117"/>
      <c r="H690" s="82"/>
      <c r="I690" s="82"/>
      <c r="J690" s="82"/>
      <c r="K690" s="117"/>
      <c r="L690" s="82"/>
      <c r="M690" s="82"/>
      <c r="N690" s="82"/>
      <c r="O690" s="82"/>
      <c r="P690" s="82"/>
    </row>
    <row r="691" spans="1:16" ht="19.5" customHeight="1" x14ac:dyDescent="0.2">
      <c r="A691" s="82"/>
      <c r="B691" s="82"/>
      <c r="C691" s="82"/>
      <c r="D691" s="82"/>
      <c r="E691" s="82"/>
      <c r="F691" s="117"/>
      <c r="G691" s="117"/>
      <c r="H691" s="82"/>
      <c r="I691" s="82"/>
      <c r="J691" s="82"/>
      <c r="K691" s="117"/>
      <c r="L691" s="82"/>
      <c r="M691" s="82"/>
      <c r="N691" s="82"/>
      <c r="O691" s="82"/>
      <c r="P691" s="82"/>
    </row>
    <row r="692" spans="1:16" ht="19.5" customHeight="1" x14ac:dyDescent="0.2">
      <c r="A692" s="82"/>
      <c r="B692" s="82"/>
      <c r="C692" s="82"/>
      <c r="D692" s="82"/>
      <c r="E692" s="82"/>
      <c r="F692" s="117"/>
      <c r="G692" s="117"/>
      <c r="H692" s="82"/>
      <c r="I692" s="82"/>
      <c r="J692" s="82"/>
      <c r="K692" s="117"/>
      <c r="L692" s="82"/>
      <c r="M692" s="82"/>
      <c r="N692" s="82"/>
      <c r="O692" s="82"/>
      <c r="P692" s="82"/>
    </row>
    <row r="693" spans="1:16" ht="19.5" customHeight="1" x14ac:dyDescent="0.2">
      <c r="A693" s="82"/>
      <c r="B693" s="82"/>
      <c r="C693" s="82"/>
      <c r="D693" s="82"/>
      <c r="E693" s="82"/>
      <c r="F693" s="117"/>
      <c r="G693" s="117"/>
      <c r="H693" s="82"/>
      <c r="I693" s="82"/>
      <c r="J693" s="82"/>
      <c r="K693" s="117"/>
      <c r="L693" s="82"/>
      <c r="M693" s="82"/>
      <c r="N693" s="82"/>
      <c r="O693" s="82"/>
      <c r="P693" s="82"/>
    </row>
    <row r="694" spans="1:16" ht="19.5" customHeight="1" x14ac:dyDescent="0.2">
      <c r="A694" s="82"/>
      <c r="B694" s="82"/>
      <c r="C694" s="82"/>
      <c r="D694" s="82"/>
      <c r="E694" s="82"/>
      <c r="F694" s="117"/>
      <c r="G694" s="117"/>
      <c r="H694" s="82"/>
      <c r="I694" s="82"/>
      <c r="J694" s="82"/>
      <c r="K694" s="117"/>
      <c r="L694" s="82"/>
      <c r="M694" s="82"/>
      <c r="N694" s="82"/>
      <c r="O694" s="82"/>
      <c r="P694" s="82"/>
    </row>
    <row r="695" spans="1:16" ht="19.5" customHeight="1" x14ac:dyDescent="0.2">
      <c r="A695" s="82"/>
      <c r="B695" s="82"/>
      <c r="C695" s="82"/>
      <c r="D695" s="82"/>
      <c r="E695" s="82"/>
      <c r="F695" s="117"/>
      <c r="G695" s="117"/>
      <c r="H695" s="82"/>
      <c r="I695" s="82"/>
      <c r="J695" s="82"/>
      <c r="K695" s="117"/>
      <c r="L695" s="82"/>
      <c r="M695" s="82"/>
      <c r="N695" s="82"/>
      <c r="O695" s="82"/>
      <c r="P695" s="82"/>
    </row>
    <row r="696" spans="1:16" ht="19.5" customHeight="1" x14ac:dyDescent="0.2">
      <c r="A696" s="82"/>
      <c r="B696" s="82"/>
      <c r="C696" s="82"/>
      <c r="D696" s="82"/>
      <c r="E696" s="82"/>
      <c r="F696" s="117"/>
      <c r="G696" s="117"/>
      <c r="H696" s="82"/>
      <c r="I696" s="82"/>
      <c r="J696" s="82"/>
      <c r="K696" s="117"/>
      <c r="L696" s="82"/>
      <c r="M696" s="82"/>
      <c r="N696" s="82"/>
      <c r="O696" s="82"/>
      <c r="P696" s="82"/>
    </row>
    <row r="697" spans="1:16" ht="19.5" customHeight="1" x14ac:dyDescent="0.2">
      <c r="A697" s="82"/>
      <c r="B697" s="82"/>
      <c r="C697" s="82"/>
      <c r="D697" s="82"/>
      <c r="E697" s="82"/>
      <c r="F697" s="117"/>
      <c r="G697" s="117"/>
      <c r="H697" s="82"/>
      <c r="I697" s="82"/>
      <c r="J697" s="82"/>
      <c r="K697" s="117"/>
      <c r="L697" s="82"/>
      <c r="M697" s="82"/>
      <c r="N697" s="82"/>
      <c r="O697" s="82"/>
      <c r="P697" s="82"/>
    </row>
    <row r="698" spans="1:16" ht="19.5" customHeight="1" x14ac:dyDescent="0.2">
      <c r="A698" s="82"/>
      <c r="B698" s="82"/>
      <c r="C698" s="82"/>
      <c r="D698" s="82"/>
      <c r="E698" s="82"/>
      <c r="F698" s="117"/>
      <c r="G698" s="117"/>
      <c r="H698" s="82"/>
      <c r="I698" s="82"/>
      <c r="J698" s="82"/>
      <c r="K698" s="117"/>
      <c r="L698" s="82"/>
      <c r="M698" s="82"/>
      <c r="N698" s="82"/>
      <c r="O698" s="82"/>
      <c r="P698" s="82"/>
    </row>
    <row r="699" spans="1:16" ht="19.5" customHeight="1" x14ac:dyDescent="0.2">
      <c r="A699" s="82"/>
      <c r="B699" s="82"/>
      <c r="C699" s="82"/>
      <c r="D699" s="82"/>
      <c r="E699" s="82"/>
      <c r="F699" s="117"/>
      <c r="G699" s="117"/>
      <c r="H699" s="82"/>
      <c r="I699" s="82"/>
      <c r="J699" s="82"/>
      <c r="K699" s="117"/>
      <c r="L699" s="82"/>
      <c r="M699" s="82"/>
      <c r="N699" s="82"/>
      <c r="O699" s="82"/>
      <c r="P699" s="82"/>
    </row>
    <row r="700" spans="1:16" ht="19.5" customHeight="1" x14ac:dyDescent="0.2">
      <c r="A700" s="82"/>
      <c r="B700" s="82"/>
      <c r="C700" s="82"/>
      <c r="D700" s="82"/>
      <c r="E700" s="82"/>
      <c r="F700" s="117"/>
      <c r="G700" s="117"/>
      <c r="H700" s="82"/>
      <c r="I700" s="82"/>
      <c r="J700" s="82"/>
      <c r="K700" s="117"/>
      <c r="L700" s="82"/>
      <c r="M700" s="82"/>
      <c r="N700" s="82"/>
      <c r="O700" s="82"/>
      <c r="P700" s="82"/>
    </row>
    <row r="701" spans="1:16" ht="19.5" customHeight="1" x14ac:dyDescent="0.2">
      <c r="A701" s="82"/>
      <c r="B701" s="82"/>
      <c r="C701" s="82"/>
      <c r="D701" s="82"/>
      <c r="E701" s="82"/>
      <c r="F701" s="117"/>
      <c r="G701" s="117"/>
      <c r="H701" s="82"/>
      <c r="I701" s="82"/>
      <c r="J701" s="82"/>
      <c r="K701" s="117"/>
      <c r="L701" s="82"/>
      <c r="M701" s="82"/>
      <c r="N701" s="82"/>
      <c r="O701" s="82"/>
      <c r="P701" s="82"/>
    </row>
    <row r="702" spans="1:16" ht="19.5" customHeight="1" x14ac:dyDescent="0.2">
      <c r="A702" s="82"/>
      <c r="B702" s="82"/>
      <c r="C702" s="82"/>
      <c r="D702" s="82"/>
      <c r="E702" s="82"/>
      <c r="F702" s="117"/>
      <c r="G702" s="117"/>
      <c r="H702" s="82"/>
      <c r="I702" s="82"/>
      <c r="J702" s="82"/>
      <c r="K702" s="117"/>
      <c r="L702" s="82"/>
      <c r="M702" s="82"/>
      <c r="N702" s="82"/>
      <c r="O702" s="82"/>
      <c r="P702" s="82"/>
    </row>
    <row r="703" spans="1:16" ht="19.5" customHeight="1" x14ac:dyDescent="0.2">
      <c r="A703" s="82"/>
      <c r="B703" s="82"/>
      <c r="C703" s="82"/>
      <c r="D703" s="82"/>
      <c r="E703" s="82"/>
      <c r="F703" s="117"/>
      <c r="G703" s="117"/>
      <c r="H703" s="82"/>
      <c r="I703" s="82"/>
      <c r="J703" s="82"/>
      <c r="K703" s="117"/>
      <c r="L703" s="82"/>
      <c r="M703" s="82"/>
      <c r="N703" s="82"/>
      <c r="O703" s="82"/>
      <c r="P703" s="82"/>
    </row>
    <row r="704" spans="1:16" ht="19.5" customHeight="1" x14ac:dyDescent="0.2">
      <c r="A704" s="82"/>
      <c r="B704" s="82"/>
      <c r="C704" s="82"/>
      <c r="D704" s="82"/>
      <c r="E704" s="82"/>
      <c r="F704" s="117"/>
      <c r="G704" s="117"/>
      <c r="H704" s="82"/>
      <c r="I704" s="82"/>
      <c r="J704" s="82"/>
      <c r="K704" s="117"/>
      <c r="L704" s="82"/>
      <c r="M704" s="82"/>
      <c r="N704" s="82"/>
      <c r="O704" s="82"/>
      <c r="P704" s="82"/>
    </row>
    <row r="705" spans="1:16" ht="19.5" customHeight="1" x14ac:dyDescent="0.2">
      <c r="A705" s="82"/>
      <c r="B705" s="82"/>
      <c r="C705" s="82"/>
      <c r="D705" s="82"/>
      <c r="E705" s="82"/>
      <c r="F705" s="117"/>
      <c r="G705" s="117"/>
      <c r="H705" s="82"/>
      <c r="I705" s="82"/>
      <c r="J705" s="82"/>
      <c r="K705" s="117"/>
      <c r="L705" s="82"/>
      <c r="M705" s="82"/>
      <c r="N705" s="82"/>
      <c r="O705" s="82"/>
      <c r="P705" s="82"/>
    </row>
    <row r="706" spans="1:16" ht="19.5" customHeight="1" x14ac:dyDescent="0.2">
      <c r="A706" s="82"/>
      <c r="B706" s="82"/>
      <c r="C706" s="82"/>
      <c r="D706" s="82"/>
      <c r="E706" s="82"/>
      <c r="F706" s="117"/>
      <c r="G706" s="117"/>
      <c r="H706" s="82"/>
      <c r="I706" s="82"/>
      <c r="J706" s="82"/>
      <c r="K706" s="117"/>
      <c r="L706" s="82"/>
      <c r="M706" s="82"/>
      <c r="N706" s="82"/>
      <c r="O706" s="82"/>
      <c r="P706" s="82"/>
    </row>
    <row r="707" spans="1:16" ht="19.5" customHeight="1" x14ac:dyDescent="0.2">
      <c r="A707" s="82"/>
      <c r="B707" s="82"/>
      <c r="C707" s="82"/>
      <c r="D707" s="82"/>
      <c r="E707" s="82"/>
      <c r="F707" s="117"/>
      <c r="G707" s="117"/>
      <c r="H707" s="82"/>
      <c r="I707" s="82"/>
      <c r="J707" s="82"/>
      <c r="K707" s="117"/>
      <c r="L707" s="82"/>
      <c r="M707" s="82"/>
      <c r="N707" s="82"/>
      <c r="O707" s="82"/>
      <c r="P707" s="82"/>
    </row>
    <row r="708" spans="1:16" ht="19.5" customHeight="1" x14ac:dyDescent="0.2">
      <c r="A708" s="82"/>
      <c r="B708" s="82"/>
      <c r="C708" s="82"/>
      <c r="D708" s="82"/>
      <c r="E708" s="82"/>
      <c r="F708" s="117"/>
      <c r="G708" s="117"/>
      <c r="H708" s="82"/>
      <c r="I708" s="82"/>
      <c r="J708" s="82"/>
      <c r="K708" s="117"/>
      <c r="L708" s="82"/>
      <c r="M708" s="82"/>
      <c r="N708" s="82"/>
      <c r="O708" s="82"/>
      <c r="P708" s="82"/>
    </row>
    <row r="709" spans="1:16" ht="19.5" customHeight="1" x14ac:dyDescent="0.2">
      <c r="A709" s="82"/>
      <c r="B709" s="82"/>
      <c r="C709" s="82"/>
      <c r="D709" s="82"/>
      <c r="E709" s="82"/>
      <c r="F709" s="117"/>
      <c r="G709" s="117"/>
      <c r="H709" s="82"/>
      <c r="I709" s="82"/>
      <c r="J709" s="82"/>
      <c r="K709" s="117"/>
      <c r="L709" s="82"/>
      <c r="M709" s="82"/>
      <c r="N709" s="82"/>
      <c r="O709" s="82"/>
      <c r="P709" s="82"/>
    </row>
    <row r="710" spans="1:16" ht="19.5" customHeight="1" x14ac:dyDescent="0.2">
      <c r="A710" s="82"/>
      <c r="B710" s="82"/>
      <c r="C710" s="82"/>
      <c r="D710" s="82"/>
      <c r="E710" s="82"/>
      <c r="F710" s="117"/>
      <c r="G710" s="117"/>
      <c r="H710" s="82"/>
      <c r="I710" s="82"/>
      <c r="J710" s="82"/>
      <c r="K710" s="117"/>
      <c r="L710" s="82"/>
      <c r="M710" s="82"/>
      <c r="N710" s="82"/>
      <c r="O710" s="82"/>
      <c r="P710" s="82"/>
    </row>
  </sheetData>
  <mergeCells count="812">
    <mergeCell ref="K426:K427"/>
    <mergeCell ref="A331:A332"/>
    <mergeCell ref="H331:H332"/>
    <mergeCell ref="I331:I332"/>
    <mergeCell ref="J331:J332"/>
    <mergeCell ref="K331:K332"/>
    <mergeCell ref="L331:L332"/>
    <mergeCell ref="A340:A341"/>
    <mergeCell ref="H340:H341"/>
    <mergeCell ref="I340:I341"/>
    <mergeCell ref="J340:J341"/>
    <mergeCell ref="K340:K341"/>
    <mergeCell ref="L340:L341"/>
    <mergeCell ref="A613:A614"/>
    <mergeCell ref="H613:H614"/>
    <mergeCell ref="I613:I614"/>
    <mergeCell ref="J613:J614"/>
    <mergeCell ref="D425:E425"/>
    <mergeCell ref="A426:A427"/>
    <mergeCell ref="H426:H427"/>
    <mergeCell ref="I426:I427"/>
    <mergeCell ref="J426:J427"/>
    <mergeCell ref="K184:K185"/>
    <mergeCell ref="K233:K234"/>
    <mergeCell ref="K235:K236"/>
    <mergeCell ref="K256:K257"/>
    <mergeCell ref="K275:K276"/>
    <mergeCell ref="K283:K284"/>
    <mergeCell ref="K291:K292"/>
    <mergeCell ref="L301:L302"/>
    <mergeCell ref="K79:K80"/>
    <mergeCell ref="K81:K82"/>
    <mergeCell ref="K87:K88"/>
    <mergeCell ref="K89:K90"/>
    <mergeCell ref="K91:K92"/>
    <mergeCell ref="K99:K100"/>
    <mergeCell ref="K115:K116"/>
    <mergeCell ref="K117:K118"/>
    <mergeCell ref="K126:K127"/>
    <mergeCell ref="K250:K251"/>
    <mergeCell ref="K124:K125"/>
    <mergeCell ref="K242:K243"/>
    <mergeCell ref="L299:L300"/>
    <mergeCell ref="D280:E280"/>
    <mergeCell ref="I281:I282"/>
    <mergeCell ref="J281:J282"/>
    <mergeCell ref="K281:K282"/>
    <mergeCell ref="H281:H282"/>
    <mergeCell ref="H283:H284"/>
    <mergeCell ref="I256:I257"/>
    <mergeCell ref="J256:J257"/>
    <mergeCell ref="I263:I264"/>
    <mergeCell ref="J263:J264"/>
    <mergeCell ref="H265:H266"/>
    <mergeCell ref="I265:I266"/>
    <mergeCell ref="J265:J266"/>
    <mergeCell ref="H275:H276"/>
    <mergeCell ref="I275:I276"/>
    <mergeCell ref="J275:J276"/>
    <mergeCell ref="K420:K421"/>
    <mergeCell ref="J420:J421"/>
    <mergeCell ref="J390:J391"/>
    <mergeCell ref="K390:K391"/>
    <mergeCell ref="H409:H410"/>
    <mergeCell ref="I409:I410"/>
    <mergeCell ref="H411:H412"/>
    <mergeCell ref="I411:I412"/>
    <mergeCell ref="J407:J408"/>
    <mergeCell ref="K407:K408"/>
    <mergeCell ref="J386:J387"/>
    <mergeCell ref="K386:K387"/>
    <mergeCell ref="K388:K389"/>
    <mergeCell ref="J397:J398"/>
    <mergeCell ref="K397:K398"/>
    <mergeCell ref="J409:J410"/>
    <mergeCell ref="K409:K410"/>
    <mergeCell ref="J418:J419"/>
    <mergeCell ref="K418:K419"/>
    <mergeCell ref="D417:E417"/>
    <mergeCell ref="D432:E432"/>
    <mergeCell ref="D396:E396"/>
    <mergeCell ref="D406:E406"/>
    <mergeCell ref="H455:H456"/>
    <mergeCell ref="I455:I456"/>
    <mergeCell ref="J455:J456"/>
    <mergeCell ref="J388:J389"/>
    <mergeCell ref="J439:J440"/>
    <mergeCell ref="I388:I389"/>
    <mergeCell ref="I439:I440"/>
    <mergeCell ref="H386:H387"/>
    <mergeCell ref="I386:I387"/>
    <mergeCell ref="H388:H389"/>
    <mergeCell ref="H390:H391"/>
    <mergeCell ref="I390:I391"/>
    <mergeCell ref="H407:H408"/>
    <mergeCell ref="I407:I408"/>
    <mergeCell ref="H433:H434"/>
    <mergeCell ref="I433:I434"/>
    <mergeCell ref="H439:H440"/>
    <mergeCell ref="H418:H419"/>
    <mergeCell ref="I418:I419"/>
    <mergeCell ref="H420:H421"/>
    <mergeCell ref="I420:I421"/>
    <mergeCell ref="H397:H398"/>
    <mergeCell ref="I397:I398"/>
    <mergeCell ref="D298:E298"/>
    <mergeCell ref="D314:E314"/>
    <mergeCell ref="D376:E376"/>
    <mergeCell ref="D385:E385"/>
    <mergeCell ref="D321:E321"/>
    <mergeCell ref="H301:H302"/>
    <mergeCell ref="I301:I302"/>
    <mergeCell ref="J301:J302"/>
    <mergeCell ref="K301:K302"/>
    <mergeCell ref="H379:H380"/>
    <mergeCell ref="K379:K380"/>
    <mergeCell ref="I379:I380"/>
    <mergeCell ref="J379:J380"/>
    <mergeCell ref="I338:I339"/>
    <mergeCell ref="J338:J339"/>
    <mergeCell ref="H359:H360"/>
    <mergeCell ref="K359:K360"/>
    <mergeCell ref="I359:I360"/>
    <mergeCell ref="J359:J360"/>
    <mergeCell ref="I346:I347"/>
    <mergeCell ref="J346:J347"/>
    <mergeCell ref="K346:K347"/>
    <mergeCell ref="H338:H339"/>
    <mergeCell ref="H377:H378"/>
    <mergeCell ref="I377:I378"/>
    <mergeCell ref="J377:J378"/>
    <mergeCell ref="K377:K378"/>
    <mergeCell ref="K308:K309"/>
    <mergeCell ref="H252:H253"/>
    <mergeCell ref="H254:H255"/>
    <mergeCell ref="I254:I255"/>
    <mergeCell ref="J254:J255"/>
    <mergeCell ref="K254:K255"/>
    <mergeCell ref="H370:H371"/>
    <mergeCell ref="K289:K290"/>
    <mergeCell ref="H291:H292"/>
    <mergeCell ref="I291:I292"/>
    <mergeCell ref="J291:J292"/>
    <mergeCell ref="A294:K294"/>
    <mergeCell ref="D345:E345"/>
    <mergeCell ref="J368:J369"/>
    <mergeCell ref="K368:K369"/>
    <mergeCell ref="K366:K367"/>
    <mergeCell ref="K355:K356"/>
    <mergeCell ref="K338:K339"/>
    <mergeCell ref="D307:E307"/>
    <mergeCell ref="H308:H309"/>
    <mergeCell ref="H315:H316"/>
    <mergeCell ref="H322:H323"/>
    <mergeCell ref="I322:I323"/>
    <mergeCell ref="J322:J323"/>
    <mergeCell ref="K322:K323"/>
    <mergeCell ref="A301:A302"/>
    <mergeCell ref="A359:A360"/>
    <mergeCell ref="A366:A367"/>
    <mergeCell ref="A368:A369"/>
    <mergeCell ref="A370:A371"/>
    <mergeCell ref="H250:H251"/>
    <mergeCell ref="I250:I251"/>
    <mergeCell ref="J250:J251"/>
    <mergeCell ref="D365:E365"/>
    <mergeCell ref="H366:H367"/>
    <mergeCell ref="I366:I367"/>
    <mergeCell ref="J366:J367"/>
    <mergeCell ref="H368:H369"/>
    <mergeCell ref="I368:I369"/>
    <mergeCell ref="D354:E354"/>
    <mergeCell ref="H355:H356"/>
    <mergeCell ref="I355:I356"/>
    <mergeCell ref="J355:J356"/>
    <mergeCell ref="H357:H358"/>
    <mergeCell ref="D328:E328"/>
    <mergeCell ref="D337:E337"/>
    <mergeCell ref="A256:A257"/>
    <mergeCell ref="H256:H257"/>
    <mergeCell ref="J289:J290"/>
    <mergeCell ref="D510:E510"/>
    <mergeCell ref="H511:H512"/>
    <mergeCell ref="I511:I512"/>
    <mergeCell ref="J511:J512"/>
    <mergeCell ref="K511:K512"/>
    <mergeCell ref="A355:A356"/>
    <mergeCell ref="A357:A358"/>
    <mergeCell ref="H501:H502"/>
    <mergeCell ref="H503:H504"/>
    <mergeCell ref="I503:I504"/>
    <mergeCell ref="J503:J504"/>
    <mergeCell ref="K503:K504"/>
    <mergeCell ref="J497:J498"/>
    <mergeCell ref="K497:K498"/>
    <mergeCell ref="H495:H496"/>
    <mergeCell ref="I495:I496"/>
    <mergeCell ref="J495:J496"/>
    <mergeCell ref="K495:K496"/>
    <mergeCell ref="H497:H498"/>
    <mergeCell ref="I497:I498"/>
    <mergeCell ref="H499:H500"/>
    <mergeCell ref="I499:I500"/>
    <mergeCell ref="J499:J500"/>
    <mergeCell ref="K499:K500"/>
    <mergeCell ref="K493:K494"/>
    <mergeCell ref="H493:H494"/>
    <mergeCell ref="H513:H514"/>
    <mergeCell ref="I513:I514"/>
    <mergeCell ref="J513:J514"/>
    <mergeCell ref="K513:K514"/>
    <mergeCell ref="H505:H506"/>
    <mergeCell ref="I505:I506"/>
    <mergeCell ref="J505:J506"/>
    <mergeCell ref="K505:K506"/>
    <mergeCell ref="I501:I502"/>
    <mergeCell ref="J501:J502"/>
    <mergeCell ref="K501:K502"/>
    <mergeCell ref="I493:I494"/>
    <mergeCell ref="J493:J494"/>
    <mergeCell ref="J113:J114"/>
    <mergeCell ref="I445:I446"/>
    <mergeCell ref="J445:J446"/>
    <mergeCell ref="K445:K446"/>
    <mergeCell ref="J433:J434"/>
    <mergeCell ref="I357:I358"/>
    <mergeCell ref="J357:J358"/>
    <mergeCell ref="K357:K358"/>
    <mergeCell ref="K265:K266"/>
    <mergeCell ref="K191:K192"/>
    <mergeCell ref="I198:I199"/>
    <mergeCell ref="J198:J199"/>
    <mergeCell ref="K198:K199"/>
    <mergeCell ref="K433:K434"/>
    <mergeCell ref="K439:K440"/>
    <mergeCell ref="I370:I371"/>
    <mergeCell ref="J370:J371"/>
    <mergeCell ref="K370:K371"/>
    <mergeCell ref="I283:I284"/>
    <mergeCell ref="J283:J284"/>
    <mergeCell ref="I252:I253"/>
    <mergeCell ref="J252:J253"/>
    <mergeCell ref="K252:K253"/>
    <mergeCell ref="J411:J412"/>
    <mergeCell ref="K57:K58"/>
    <mergeCell ref="K67:K68"/>
    <mergeCell ref="K69:K70"/>
    <mergeCell ref="K71:K72"/>
    <mergeCell ref="K11:K12"/>
    <mergeCell ref="I13:I14"/>
    <mergeCell ref="J13:J14"/>
    <mergeCell ref="K20:K22"/>
    <mergeCell ref="I21:I22"/>
    <mergeCell ref="J21:J22"/>
    <mergeCell ref="K33:K34"/>
    <mergeCell ref="K35:K36"/>
    <mergeCell ref="K37:K38"/>
    <mergeCell ref="K31:K32"/>
    <mergeCell ref="I37:I38"/>
    <mergeCell ref="K39:K40"/>
    <mergeCell ref="K41:K42"/>
    <mergeCell ref="K77:K78"/>
    <mergeCell ref="H39:H40"/>
    <mergeCell ref="H47:H48"/>
    <mergeCell ref="H57:H58"/>
    <mergeCell ref="H41:H42"/>
    <mergeCell ref="H49:H50"/>
    <mergeCell ref="I49:I50"/>
    <mergeCell ref="J49:J50"/>
    <mergeCell ref="H51:H52"/>
    <mergeCell ref="I51:I52"/>
    <mergeCell ref="J51:J52"/>
    <mergeCell ref="J39:J40"/>
    <mergeCell ref="J41:J42"/>
    <mergeCell ref="I39:I40"/>
    <mergeCell ref="I41:I42"/>
    <mergeCell ref="H69:H70"/>
    <mergeCell ref="I69:I70"/>
    <mergeCell ref="J69:J70"/>
    <mergeCell ref="H71:H72"/>
    <mergeCell ref="K47:K48"/>
    <mergeCell ref="K49:K50"/>
    <mergeCell ref="K51:K52"/>
    <mergeCell ref="K59:K60"/>
    <mergeCell ref="K61:K62"/>
    <mergeCell ref="A1:J1"/>
    <mergeCell ref="A2:J2"/>
    <mergeCell ref="A3:J3"/>
    <mergeCell ref="A4:J4"/>
    <mergeCell ref="D10:E10"/>
    <mergeCell ref="A11:A12"/>
    <mergeCell ref="A13:A14"/>
    <mergeCell ref="A15:A16"/>
    <mergeCell ref="H15:H16"/>
    <mergeCell ref="I15:I16"/>
    <mergeCell ref="J15:J16"/>
    <mergeCell ref="H5:J5"/>
    <mergeCell ref="I11:I12"/>
    <mergeCell ref="J11:J12"/>
    <mergeCell ref="D20:E20"/>
    <mergeCell ref="A23:A24"/>
    <mergeCell ref="A25:A26"/>
    <mergeCell ref="H11:H12"/>
    <mergeCell ref="H13:H14"/>
    <mergeCell ref="H21:H22"/>
    <mergeCell ref="H33:H34"/>
    <mergeCell ref="H35:H36"/>
    <mergeCell ref="H37:H38"/>
    <mergeCell ref="H23:H24"/>
    <mergeCell ref="H25:H26"/>
    <mergeCell ref="D30:E30"/>
    <mergeCell ref="H31:H32"/>
    <mergeCell ref="D46:E46"/>
    <mergeCell ref="I47:I48"/>
    <mergeCell ref="J47:J48"/>
    <mergeCell ref="D56:E56"/>
    <mergeCell ref="A57:A58"/>
    <mergeCell ref="H61:H62"/>
    <mergeCell ref="D66:E66"/>
    <mergeCell ref="A67:A68"/>
    <mergeCell ref="H67:H68"/>
    <mergeCell ref="I57:I58"/>
    <mergeCell ref="J57:J58"/>
    <mergeCell ref="H59:H60"/>
    <mergeCell ref="I59:I60"/>
    <mergeCell ref="J59:J60"/>
    <mergeCell ref="I61:I62"/>
    <mergeCell ref="J61:J62"/>
    <mergeCell ref="I67:I68"/>
    <mergeCell ref="J67:J68"/>
    <mergeCell ref="H99:H100"/>
    <mergeCell ref="I99:I100"/>
    <mergeCell ref="J99:J100"/>
    <mergeCell ref="J71:J72"/>
    <mergeCell ref="J89:J90"/>
    <mergeCell ref="J91:J92"/>
    <mergeCell ref="H89:H90"/>
    <mergeCell ref="I89:I90"/>
    <mergeCell ref="H91:H92"/>
    <mergeCell ref="I91:I92"/>
    <mergeCell ref="I71:I72"/>
    <mergeCell ref="H182:H183"/>
    <mergeCell ref="I182:I183"/>
    <mergeCell ref="J182:J183"/>
    <mergeCell ref="K182:K183"/>
    <mergeCell ref="H126:H127"/>
    <mergeCell ref="H133:H134"/>
    <mergeCell ref="I133:I134"/>
    <mergeCell ref="J133:J134"/>
    <mergeCell ref="K133:K134"/>
    <mergeCell ref="H160:H161"/>
    <mergeCell ref="I160:I161"/>
    <mergeCell ref="J160:J161"/>
    <mergeCell ref="K160:K161"/>
    <mergeCell ref="I126:I127"/>
    <mergeCell ref="J126:J127"/>
    <mergeCell ref="H135:H136"/>
    <mergeCell ref="I135:I136"/>
    <mergeCell ref="J135:J136"/>
    <mergeCell ref="H144:H145"/>
    <mergeCell ref="I144:I145"/>
    <mergeCell ref="J144:J145"/>
    <mergeCell ref="K175:K176"/>
    <mergeCell ref="K135:K136"/>
    <mergeCell ref="K144:K145"/>
    <mergeCell ref="D132:E132"/>
    <mergeCell ref="H142:H143"/>
    <mergeCell ref="I142:I143"/>
    <mergeCell ref="J142:J143"/>
    <mergeCell ref="K142:K143"/>
    <mergeCell ref="I168:I169"/>
    <mergeCell ref="J168:J169"/>
    <mergeCell ref="K168:K169"/>
    <mergeCell ref="H168:H169"/>
    <mergeCell ref="H151:H152"/>
    <mergeCell ref="I151:I152"/>
    <mergeCell ref="J151:J152"/>
    <mergeCell ref="K151:K152"/>
    <mergeCell ref="H153:H154"/>
    <mergeCell ref="I153:I154"/>
    <mergeCell ref="J153:J154"/>
    <mergeCell ref="D141:E141"/>
    <mergeCell ref="D150:E150"/>
    <mergeCell ref="D159:E159"/>
    <mergeCell ref="D167:E167"/>
    <mergeCell ref="K153:K154"/>
    <mergeCell ref="D174:E174"/>
    <mergeCell ref="D181:E181"/>
    <mergeCell ref="D190:E190"/>
    <mergeCell ref="H117:H118"/>
    <mergeCell ref="D123:E123"/>
    <mergeCell ref="H124:H125"/>
    <mergeCell ref="H175:H176"/>
    <mergeCell ref="I242:I243"/>
    <mergeCell ref="J242:J243"/>
    <mergeCell ref="H191:H192"/>
    <mergeCell ref="I191:I192"/>
    <mergeCell ref="J191:J192"/>
    <mergeCell ref="D241:E241"/>
    <mergeCell ref="H231:H232"/>
    <mergeCell ref="I231:I232"/>
    <mergeCell ref="I124:I125"/>
    <mergeCell ref="J124:J125"/>
    <mergeCell ref="I175:I176"/>
    <mergeCell ref="J175:J176"/>
    <mergeCell ref="D211:E211"/>
    <mergeCell ref="D220:E220"/>
    <mergeCell ref="D197:E197"/>
    <mergeCell ref="D204:E204"/>
    <mergeCell ref="D230:E230"/>
    <mergeCell ref="J244:J245"/>
    <mergeCell ref="K244:K245"/>
    <mergeCell ref="H233:H234"/>
    <mergeCell ref="I233:I234"/>
    <mergeCell ref="J233:J234"/>
    <mergeCell ref="H235:H236"/>
    <mergeCell ref="I235:I236"/>
    <mergeCell ref="J235:J236"/>
    <mergeCell ref="H242:H243"/>
    <mergeCell ref="D249:E249"/>
    <mergeCell ref="H198:H199"/>
    <mergeCell ref="H205:H206"/>
    <mergeCell ref="I205:I206"/>
    <mergeCell ref="J205:J206"/>
    <mergeCell ref="K205:K206"/>
    <mergeCell ref="H212:H213"/>
    <mergeCell ref="K212:K213"/>
    <mergeCell ref="I223:I224"/>
    <mergeCell ref="J223:J224"/>
    <mergeCell ref="I212:I213"/>
    <mergeCell ref="J212:J213"/>
    <mergeCell ref="H221:H222"/>
    <mergeCell ref="I221:I222"/>
    <mergeCell ref="J221:J222"/>
    <mergeCell ref="K221:K222"/>
    <mergeCell ref="K223:K224"/>
    <mergeCell ref="H223:H224"/>
    <mergeCell ref="H225:H226"/>
    <mergeCell ref="I225:I226"/>
    <mergeCell ref="J225:J226"/>
    <mergeCell ref="K225:K226"/>
    <mergeCell ref="H244:H245"/>
    <mergeCell ref="I244:I245"/>
    <mergeCell ref="D76:E76"/>
    <mergeCell ref="J231:J232"/>
    <mergeCell ref="K231:K232"/>
    <mergeCell ref="I23:I24"/>
    <mergeCell ref="J23:J24"/>
    <mergeCell ref="I33:I34"/>
    <mergeCell ref="J33:J34"/>
    <mergeCell ref="I35:I36"/>
    <mergeCell ref="J35:J36"/>
    <mergeCell ref="J37:J38"/>
    <mergeCell ref="I25:I26"/>
    <mergeCell ref="J25:J26"/>
    <mergeCell ref="I31:I32"/>
    <mergeCell ref="J31:J32"/>
    <mergeCell ref="D98:E98"/>
    <mergeCell ref="D104:E104"/>
    <mergeCell ref="H105:H106"/>
    <mergeCell ref="I105:I106"/>
    <mergeCell ref="J105:J106"/>
    <mergeCell ref="K105:K106"/>
    <mergeCell ref="D112:E112"/>
    <mergeCell ref="H113:H114"/>
    <mergeCell ref="K113:K114"/>
    <mergeCell ref="I113:I114"/>
    <mergeCell ref="A77:A78"/>
    <mergeCell ref="I77:I78"/>
    <mergeCell ref="J77:J78"/>
    <mergeCell ref="I87:I88"/>
    <mergeCell ref="J87:J88"/>
    <mergeCell ref="H77:H78"/>
    <mergeCell ref="H79:H80"/>
    <mergeCell ref="I79:I80"/>
    <mergeCell ref="J79:J80"/>
    <mergeCell ref="I81:I82"/>
    <mergeCell ref="D86:E86"/>
    <mergeCell ref="A87:A88"/>
    <mergeCell ref="J81:J82"/>
    <mergeCell ref="H81:H82"/>
    <mergeCell ref="H87:H88"/>
    <mergeCell ref="H115:H116"/>
    <mergeCell ref="I115:I116"/>
    <mergeCell ref="J115:J116"/>
    <mergeCell ref="I117:I118"/>
    <mergeCell ref="J117:J118"/>
    <mergeCell ref="A31:A32"/>
    <mergeCell ref="A33:A34"/>
    <mergeCell ref="A35:A36"/>
    <mergeCell ref="A37:A38"/>
    <mergeCell ref="A39:A40"/>
    <mergeCell ref="A41:A42"/>
    <mergeCell ref="A47:A48"/>
    <mergeCell ref="A49:A50"/>
    <mergeCell ref="A51:A52"/>
    <mergeCell ref="A59:A60"/>
    <mergeCell ref="A61:A62"/>
    <mergeCell ref="A69:A70"/>
    <mergeCell ref="A71:A72"/>
    <mergeCell ref="A79:A80"/>
    <mergeCell ref="A81:A82"/>
    <mergeCell ref="A89:A90"/>
    <mergeCell ref="A91:A92"/>
    <mergeCell ref="A99:A100"/>
    <mergeCell ref="A105:A106"/>
    <mergeCell ref="A113:A114"/>
    <mergeCell ref="A115:A116"/>
    <mergeCell ref="A117:A118"/>
    <mergeCell ref="A124:A125"/>
    <mergeCell ref="A126:A127"/>
    <mergeCell ref="A133:A134"/>
    <mergeCell ref="A135:A136"/>
    <mergeCell ref="A142:A143"/>
    <mergeCell ref="A144:A145"/>
    <mergeCell ref="A151:A152"/>
    <mergeCell ref="A153:A154"/>
    <mergeCell ref="A160:A161"/>
    <mergeCell ref="A168:A169"/>
    <mergeCell ref="A175:A176"/>
    <mergeCell ref="A182:A183"/>
    <mergeCell ref="A191:A192"/>
    <mergeCell ref="A198:A199"/>
    <mergeCell ref="A205:A206"/>
    <mergeCell ref="A184:A185"/>
    <mergeCell ref="A212:A213"/>
    <mergeCell ref="A221:A222"/>
    <mergeCell ref="A223:A224"/>
    <mergeCell ref="A225:A226"/>
    <mergeCell ref="A231:A232"/>
    <mergeCell ref="A233:A234"/>
    <mergeCell ref="A235:A236"/>
    <mergeCell ref="A242:A243"/>
    <mergeCell ref="A244:A245"/>
    <mergeCell ref="A250:A251"/>
    <mergeCell ref="A252:A253"/>
    <mergeCell ref="A254:A255"/>
    <mergeCell ref="I308:I309"/>
    <mergeCell ref="J308:J309"/>
    <mergeCell ref="H299:H300"/>
    <mergeCell ref="I299:I300"/>
    <mergeCell ref="J299:J300"/>
    <mergeCell ref="K299:K300"/>
    <mergeCell ref="D288:E288"/>
    <mergeCell ref="H289:H290"/>
    <mergeCell ref="I289:I290"/>
    <mergeCell ref="H267:H268"/>
    <mergeCell ref="K267:K268"/>
    <mergeCell ref="I267:I268"/>
    <mergeCell ref="J267:J268"/>
    <mergeCell ref="D272:E272"/>
    <mergeCell ref="H273:H274"/>
    <mergeCell ref="I273:I274"/>
    <mergeCell ref="J273:J274"/>
    <mergeCell ref="K273:K274"/>
    <mergeCell ref="D262:E262"/>
    <mergeCell ref="H263:H264"/>
    <mergeCell ref="K263:K264"/>
    <mergeCell ref="L308:L309"/>
    <mergeCell ref="H461:H462"/>
    <mergeCell ref="H467:H468"/>
    <mergeCell ref="I467:I468"/>
    <mergeCell ref="J467:J468"/>
    <mergeCell ref="K467:K468"/>
    <mergeCell ref="H451:H452"/>
    <mergeCell ref="I451:I452"/>
    <mergeCell ref="J451:J452"/>
    <mergeCell ref="K451:K452"/>
    <mergeCell ref="K411:K412"/>
    <mergeCell ref="L338:L339"/>
    <mergeCell ref="L346:L347"/>
    <mergeCell ref="H329:H330"/>
    <mergeCell ref="K329:K330"/>
    <mergeCell ref="I315:I316"/>
    <mergeCell ref="J315:J316"/>
    <mergeCell ref="K315:K316"/>
    <mergeCell ref="L315:L316"/>
    <mergeCell ref="L322:L323"/>
    <mergeCell ref="I329:I330"/>
    <mergeCell ref="J329:J330"/>
    <mergeCell ref="L329:L330"/>
    <mergeCell ref="H346:H347"/>
    <mergeCell ref="D460:E460"/>
    <mergeCell ref="I461:I462"/>
    <mergeCell ref="D466:E466"/>
    <mergeCell ref="H399:H400"/>
    <mergeCell ref="I399:I400"/>
    <mergeCell ref="J399:J400"/>
    <mergeCell ref="K399:K400"/>
    <mergeCell ref="I401:I402"/>
    <mergeCell ref="J401:J402"/>
    <mergeCell ref="K401:K402"/>
    <mergeCell ref="H401:H402"/>
    <mergeCell ref="J449:J450"/>
    <mergeCell ref="K449:K450"/>
    <mergeCell ref="H445:H446"/>
    <mergeCell ref="H447:H448"/>
    <mergeCell ref="I447:I448"/>
    <mergeCell ref="J447:J448"/>
    <mergeCell ref="K447:K448"/>
    <mergeCell ref="H449:H450"/>
    <mergeCell ref="I449:I450"/>
    <mergeCell ref="J461:J462"/>
    <mergeCell ref="K461:K462"/>
    <mergeCell ref="D438:E438"/>
    <mergeCell ref="D444:E444"/>
    <mergeCell ref="D478:E478"/>
    <mergeCell ref="D484:E484"/>
    <mergeCell ref="D492:E492"/>
    <mergeCell ref="A467:A468"/>
    <mergeCell ref="A473:A474"/>
    <mergeCell ref="A479:A480"/>
    <mergeCell ref="A485:A486"/>
    <mergeCell ref="D472:E472"/>
    <mergeCell ref="H473:H474"/>
    <mergeCell ref="I473:I474"/>
    <mergeCell ref="J473:J474"/>
    <mergeCell ref="K473:K474"/>
    <mergeCell ref="H479:H480"/>
    <mergeCell ref="K479:K480"/>
    <mergeCell ref="I479:I480"/>
    <mergeCell ref="J479:J480"/>
    <mergeCell ref="H485:H486"/>
    <mergeCell ref="I485:I486"/>
    <mergeCell ref="J485:J486"/>
    <mergeCell ref="K485:K486"/>
    <mergeCell ref="A547:A548"/>
    <mergeCell ref="A549:A550"/>
    <mergeCell ref="A555:A556"/>
    <mergeCell ref="A557:A558"/>
    <mergeCell ref="A563:A564"/>
    <mergeCell ref="A565:A566"/>
    <mergeCell ref="A573:A574"/>
    <mergeCell ref="A605:A606"/>
    <mergeCell ref="A523:A524"/>
    <mergeCell ref="A529:A530"/>
    <mergeCell ref="A531:A532"/>
    <mergeCell ref="A537:A538"/>
    <mergeCell ref="A539:A540"/>
    <mergeCell ref="A541:A542"/>
    <mergeCell ref="A611:A612"/>
    <mergeCell ref="A579:A580"/>
    <mergeCell ref="A581:A582"/>
    <mergeCell ref="A583:A584"/>
    <mergeCell ref="A585:A586"/>
    <mergeCell ref="A591:A592"/>
    <mergeCell ref="A597:A598"/>
    <mergeCell ref="A599:A600"/>
    <mergeCell ref="A263:A264"/>
    <mergeCell ref="A265:A266"/>
    <mergeCell ref="A267:A268"/>
    <mergeCell ref="A273:A274"/>
    <mergeCell ref="A275:A276"/>
    <mergeCell ref="A281:A282"/>
    <mergeCell ref="A283:A284"/>
    <mergeCell ref="A289:A290"/>
    <mergeCell ref="A291:A292"/>
    <mergeCell ref="A299:A300"/>
    <mergeCell ref="A308:A309"/>
    <mergeCell ref="A315:A316"/>
    <mergeCell ref="A322:A323"/>
    <mergeCell ref="A329:A330"/>
    <mergeCell ref="A338:A339"/>
    <mergeCell ref="A346:A347"/>
    <mergeCell ref="A377:A378"/>
    <mergeCell ref="A379:A380"/>
    <mergeCell ref="A386:A387"/>
    <mergeCell ref="A388:A389"/>
    <mergeCell ref="A390:A391"/>
    <mergeCell ref="A397:A398"/>
    <mergeCell ref="A399:A400"/>
    <mergeCell ref="A401:A402"/>
    <mergeCell ref="A407:A408"/>
    <mergeCell ref="A409:A410"/>
    <mergeCell ref="A411:A412"/>
    <mergeCell ref="A418:A419"/>
    <mergeCell ref="A420:A421"/>
    <mergeCell ref="A433:A434"/>
    <mergeCell ref="A439:A440"/>
    <mergeCell ref="A445:A446"/>
    <mergeCell ref="A447:A448"/>
    <mergeCell ref="A449:A450"/>
    <mergeCell ref="A451:A452"/>
    <mergeCell ref="A461:A462"/>
    <mergeCell ref="A521:A522"/>
    <mergeCell ref="A515:A516"/>
    <mergeCell ref="A493:A494"/>
    <mergeCell ref="A495:A496"/>
    <mergeCell ref="A497:A498"/>
    <mergeCell ref="A499:A500"/>
    <mergeCell ref="A501:A502"/>
    <mergeCell ref="A503:A504"/>
    <mergeCell ref="A505:A506"/>
    <mergeCell ref="A511:A512"/>
    <mergeCell ref="A513:A514"/>
    <mergeCell ref="A455:A456"/>
    <mergeCell ref="H541:H542"/>
    <mergeCell ref="I541:I542"/>
    <mergeCell ref="J541:J542"/>
    <mergeCell ref="K541:K542"/>
    <mergeCell ref="H547:H548"/>
    <mergeCell ref="I547:I548"/>
    <mergeCell ref="H549:H550"/>
    <mergeCell ref="I549:I550"/>
    <mergeCell ref="J549:J550"/>
    <mergeCell ref="K549:K550"/>
    <mergeCell ref="J547:J548"/>
    <mergeCell ref="K547:K548"/>
    <mergeCell ref="K565:K566"/>
    <mergeCell ref="I573:I574"/>
    <mergeCell ref="J573:J574"/>
    <mergeCell ref="K573:K574"/>
    <mergeCell ref="H583:H584"/>
    <mergeCell ref="I583:I584"/>
    <mergeCell ref="J583:J584"/>
    <mergeCell ref="K583:K584"/>
    <mergeCell ref="I555:I556"/>
    <mergeCell ref="J555:J556"/>
    <mergeCell ref="K555:K556"/>
    <mergeCell ref="J563:J564"/>
    <mergeCell ref="K563:K564"/>
    <mergeCell ref="H555:H556"/>
    <mergeCell ref="H557:H558"/>
    <mergeCell ref="I557:I558"/>
    <mergeCell ref="J557:J558"/>
    <mergeCell ref="K557:K558"/>
    <mergeCell ref="H563:H564"/>
    <mergeCell ref="I563:I564"/>
    <mergeCell ref="H515:H516"/>
    <mergeCell ref="H521:H522"/>
    <mergeCell ref="I521:I522"/>
    <mergeCell ref="J521:J522"/>
    <mergeCell ref="K521:K522"/>
    <mergeCell ref="H523:H524"/>
    <mergeCell ref="K523:K524"/>
    <mergeCell ref="I523:I524"/>
    <mergeCell ref="J523:J524"/>
    <mergeCell ref="I515:I516"/>
    <mergeCell ref="J515:J516"/>
    <mergeCell ref="K515:K516"/>
    <mergeCell ref="D604:E604"/>
    <mergeCell ref="D610:E610"/>
    <mergeCell ref="H529:H530"/>
    <mergeCell ref="I529:I530"/>
    <mergeCell ref="J529:J530"/>
    <mergeCell ref="K529:K530"/>
    <mergeCell ref="H531:H532"/>
    <mergeCell ref="K531:K532"/>
    <mergeCell ref="I539:I540"/>
    <mergeCell ref="J539:J540"/>
    <mergeCell ref="I531:I532"/>
    <mergeCell ref="J531:J532"/>
    <mergeCell ref="H537:H538"/>
    <mergeCell ref="I537:I538"/>
    <mergeCell ref="J537:J538"/>
    <mergeCell ref="K537:K538"/>
    <mergeCell ref="K539:K540"/>
    <mergeCell ref="H539:H540"/>
    <mergeCell ref="K597:K598"/>
    <mergeCell ref="H585:H586"/>
    <mergeCell ref="I585:I586"/>
    <mergeCell ref="J585:J586"/>
    <mergeCell ref="K585:K586"/>
    <mergeCell ref="H573:H574"/>
    <mergeCell ref="J599:J600"/>
    <mergeCell ref="K599:K600"/>
    <mergeCell ref="J581:J582"/>
    <mergeCell ref="K581:K582"/>
    <mergeCell ref="H591:H592"/>
    <mergeCell ref="I591:I592"/>
    <mergeCell ref="J591:J592"/>
    <mergeCell ref="K591:K592"/>
    <mergeCell ref="D520:E520"/>
    <mergeCell ref="D528:E528"/>
    <mergeCell ref="D536:E536"/>
    <mergeCell ref="D546:E546"/>
    <mergeCell ref="D554:E554"/>
    <mergeCell ref="D562:E562"/>
    <mergeCell ref="D572:E572"/>
    <mergeCell ref="H579:H580"/>
    <mergeCell ref="I579:I580"/>
    <mergeCell ref="J579:J580"/>
    <mergeCell ref="K579:K580"/>
    <mergeCell ref="H581:H582"/>
    <mergeCell ref="I581:I582"/>
    <mergeCell ref="H565:H566"/>
    <mergeCell ref="I565:I566"/>
    <mergeCell ref="J565:J566"/>
    <mergeCell ref="H184:H185"/>
    <mergeCell ref="I184:I185"/>
    <mergeCell ref="J184:J185"/>
    <mergeCell ref="A453:A454"/>
    <mergeCell ref="H453:H454"/>
    <mergeCell ref="I453:I454"/>
    <mergeCell ref="J453:J454"/>
    <mergeCell ref="K453:K454"/>
    <mergeCell ref="H611:H612"/>
    <mergeCell ref="I611:I612"/>
    <mergeCell ref="J611:J612"/>
    <mergeCell ref="K611:K612"/>
    <mergeCell ref="D578:E578"/>
    <mergeCell ref="D590:E590"/>
    <mergeCell ref="D596:E596"/>
    <mergeCell ref="H605:H606"/>
    <mergeCell ref="I605:I606"/>
    <mergeCell ref="J605:J606"/>
    <mergeCell ref="K605:K606"/>
    <mergeCell ref="I597:I598"/>
    <mergeCell ref="J597:J598"/>
    <mergeCell ref="H597:H598"/>
    <mergeCell ref="H599:H600"/>
    <mergeCell ref="I599:I600"/>
  </mergeCells>
  <phoneticPr fontId="51" type="noConversion"/>
  <printOptions horizontalCentered="1" gridLines="1"/>
  <pageMargins left="0" right="0" top="0.59055118110236227" bottom="0.15748031496062992" header="0" footer="0"/>
  <pageSetup paperSize="9" scale="60" fitToHeight="0" pageOrder="overThenDown" orientation="portrait" cellComments="atEnd" r:id="rId1"/>
  <headerFooter>
    <oddFooter>Página &amp;P</oddFooter>
  </headerFooter>
  <rowBreaks count="9" manualBreakCount="9">
    <brk id="62" max="9" man="1"/>
    <brk id="129" max="9" man="1"/>
    <brk id="193" max="9" man="1"/>
    <brk id="258" max="9" man="1"/>
    <brk id="324" max="9" man="1"/>
    <brk id="392" max="9" man="1"/>
    <brk id="463" max="9" man="1"/>
    <brk id="525" max="9" man="1"/>
    <brk id="587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1019"/>
  <sheetViews>
    <sheetView workbookViewId="0"/>
  </sheetViews>
  <sheetFormatPr baseColWidth="10" defaultColWidth="12.5703125" defaultRowHeight="15" customHeight="1" x14ac:dyDescent="0.2"/>
  <cols>
    <col min="1" max="3" width="13.7109375" customWidth="1"/>
    <col min="4" max="6" width="9.7109375" customWidth="1"/>
    <col min="7" max="8" width="14" customWidth="1"/>
    <col min="9" max="10" width="12.85546875" customWidth="1"/>
    <col min="11" max="12" width="16.28515625" customWidth="1"/>
    <col min="13" max="13" width="25.7109375" customWidth="1"/>
    <col min="14" max="14" width="3.140625" customWidth="1"/>
    <col min="15" max="16" width="12.42578125" hidden="1" customWidth="1"/>
    <col min="17" max="30" width="12.42578125" customWidth="1"/>
  </cols>
  <sheetData>
    <row r="1" spans="1:16" ht="15.75" customHeight="1" x14ac:dyDescent="0.2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6" ht="15.75" customHeight="1" x14ac:dyDescent="0.2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O2" s="16" t="s">
        <v>274</v>
      </c>
    </row>
    <row r="3" spans="1:16" ht="15.75" customHeight="1" x14ac:dyDescent="0.2">
      <c r="A3" s="651" t="s">
        <v>275</v>
      </c>
      <c r="B3" s="608"/>
      <c r="C3" s="608"/>
      <c r="D3" s="608"/>
      <c r="E3" s="608"/>
      <c r="F3" s="608"/>
      <c r="G3" s="608"/>
      <c r="H3" s="608"/>
      <c r="I3" s="608"/>
      <c r="J3" s="608"/>
      <c r="K3" s="608"/>
      <c r="L3" s="608"/>
      <c r="M3" s="609"/>
    </row>
    <row r="4" spans="1:16" ht="15.75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</row>
    <row r="5" spans="1:16" ht="15.75" customHeight="1" x14ac:dyDescent="0.2">
      <c r="A5" s="19" t="s">
        <v>19</v>
      </c>
      <c r="B5" s="650" t="s">
        <v>32</v>
      </c>
      <c r="C5" s="585"/>
      <c r="D5" s="650" t="s">
        <v>25</v>
      </c>
      <c r="E5" s="587"/>
      <c r="F5" s="585"/>
      <c r="G5" s="650" t="s">
        <v>36</v>
      </c>
      <c r="H5" s="585"/>
      <c r="I5" s="650" t="s">
        <v>48</v>
      </c>
      <c r="J5" s="585"/>
      <c r="K5" s="19" t="s">
        <v>44</v>
      </c>
      <c r="L5" s="19"/>
      <c r="M5" s="19" t="s">
        <v>122</v>
      </c>
      <c r="O5" s="20" t="s">
        <v>48</v>
      </c>
      <c r="P5" s="21" t="s">
        <v>44</v>
      </c>
    </row>
    <row r="6" spans="1:16" ht="15.75" customHeight="1" x14ac:dyDescent="0.2">
      <c r="A6" s="22" t="s">
        <v>276</v>
      </c>
      <c r="B6" s="648"/>
      <c r="C6" s="585"/>
      <c r="D6" s="648"/>
      <c r="E6" s="587"/>
      <c r="F6" s="585"/>
      <c r="G6" s="648"/>
      <c r="H6" s="585"/>
      <c r="I6" s="647"/>
      <c r="J6" s="585"/>
      <c r="K6" s="23"/>
      <c r="L6" s="23"/>
      <c r="M6" s="23"/>
      <c r="O6" s="649" t="s">
        <v>277</v>
      </c>
      <c r="P6" s="649" t="s">
        <v>30</v>
      </c>
    </row>
    <row r="7" spans="1:16" ht="15.75" customHeight="1" x14ac:dyDescent="0.2">
      <c r="A7" s="22" t="s">
        <v>278</v>
      </c>
      <c r="B7" s="648"/>
      <c r="C7" s="585"/>
      <c r="D7" s="648"/>
      <c r="E7" s="587"/>
      <c r="F7" s="585"/>
      <c r="G7" s="646"/>
      <c r="H7" s="594"/>
      <c r="I7" s="647"/>
      <c r="J7" s="585"/>
      <c r="K7" s="23"/>
      <c r="L7" s="23"/>
      <c r="M7" s="23"/>
      <c r="O7" s="602"/>
      <c r="P7" s="602"/>
    </row>
    <row r="8" spans="1:16" ht="15.75" customHeight="1" x14ac:dyDescent="0.2">
      <c r="A8" s="22" t="s">
        <v>279</v>
      </c>
      <c r="B8" s="648"/>
      <c r="C8" s="585"/>
      <c r="D8" s="648"/>
      <c r="E8" s="587"/>
      <c r="F8" s="585"/>
      <c r="G8" s="646"/>
      <c r="H8" s="594"/>
      <c r="I8" s="647"/>
      <c r="J8" s="585"/>
      <c r="K8" s="23"/>
      <c r="L8" s="23"/>
      <c r="M8" s="23"/>
      <c r="O8" s="603"/>
      <c r="P8" s="602"/>
    </row>
    <row r="9" spans="1:16" ht="15.75" customHeight="1" x14ac:dyDescent="0.2">
      <c r="A9" s="22" t="s">
        <v>280</v>
      </c>
      <c r="B9" s="648"/>
      <c r="C9" s="585"/>
      <c r="D9" s="648"/>
      <c r="E9" s="587"/>
      <c r="F9" s="585"/>
      <c r="G9" s="646"/>
      <c r="H9" s="594"/>
      <c r="I9" s="647"/>
      <c r="J9" s="585"/>
      <c r="K9" s="23"/>
      <c r="L9" s="23"/>
      <c r="M9" s="23"/>
      <c r="O9" s="6"/>
      <c r="P9" s="602"/>
    </row>
    <row r="10" spans="1:16" ht="15.75" customHeight="1" x14ac:dyDescent="0.2">
      <c r="A10" s="22" t="s">
        <v>281</v>
      </c>
      <c r="B10" s="648"/>
      <c r="C10" s="585"/>
      <c r="D10" s="648"/>
      <c r="E10" s="587"/>
      <c r="F10" s="585"/>
      <c r="G10" s="646"/>
      <c r="H10" s="594"/>
      <c r="I10" s="647"/>
      <c r="J10" s="585"/>
      <c r="K10" s="24" t="s">
        <v>282</v>
      </c>
      <c r="L10" s="24"/>
      <c r="M10" s="23"/>
      <c r="O10" s="649" t="s">
        <v>283</v>
      </c>
      <c r="P10" s="603"/>
    </row>
    <row r="11" spans="1:16" ht="15.75" customHeight="1" x14ac:dyDescent="0.2">
      <c r="A11" s="22" t="s">
        <v>284</v>
      </c>
      <c r="B11" s="648"/>
      <c r="C11" s="585"/>
      <c r="D11" s="648"/>
      <c r="E11" s="587"/>
      <c r="F11" s="585"/>
      <c r="G11" s="646"/>
      <c r="H11" s="594"/>
      <c r="I11" s="647"/>
      <c r="J11" s="585"/>
      <c r="K11" s="23"/>
      <c r="L11" s="23"/>
      <c r="M11" s="23"/>
      <c r="O11" s="602"/>
    </row>
    <row r="12" spans="1:16" ht="15.75" customHeight="1" x14ac:dyDescent="0.2">
      <c r="A12" s="22" t="s">
        <v>285</v>
      </c>
      <c r="B12" s="648"/>
      <c r="C12" s="585"/>
      <c r="D12" s="648"/>
      <c r="E12" s="587"/>
      <c r="F12" s="585"/>
      <c r="G12" s="646"/>
      <c r="H12" s="594"/>
      <c r="I12" s="647"/>
      <c r="J12" s="585"/>
      <c r="K12" s="23"/>
      <c r="L12" s="23"/>
      <c r="M12" s="23"/>
      <c r="O12" s="602"/>
    </row>
    <row r="13" spans="1:16" ht="15.75" customHeight="1" x14ac:dyDescent="0.2">
      <c r="A13" s="22" t="s">
        <v>286</v>
      </c>
      <c r="B13" s="648"/>
      <c r="C13" s="585"/>
      <c r="D13" s="648"/>
      <c r="E13" s="587"/>
      <c r="F13" s="585"/>
      <c r="G13" s="646"/>
      <c r="H13" s="594"/>
      <c r="I13" s="647"/>
      <c r="J13" s="585"/>
      <c r="K13" s="23"/>
      <c r="L13" s="23"/>
      <c r="M13" s="23"/>
      <c r="O13" s="603"/>
    </row>
    <row r="14" spans="1:16" ht="15.75" customHeight="1" x14ac:dyDescent="0.2">
      <c r="A14" s="22" t="s">
        <v>287</v>
      </c>
      <c r="B14" s="648"/>
      <c r="C14" s="585"/>
      <c r="D14" s="648"/>
      <c r="E14" s="587"/>
      <c r="F14" s="585"/>
      <c r="G14" s="646"/>
      <c r="H14" s="594"/>
      <c r="I14" s="647"/>
      <c r="J14" s="585"/>
      <c r="K14" s="23"/>
      <c r="L14" s="23"/>
      <c r="M14" s="23"/>
    </row>
    <row r="15" spans="1:16" ht="15.75" customHeight="1" x14ac:dyDescent="0.2">
      <c r="A15" s="22" t="s">
        <v>288</v>
      </c>
      <c r="B15" s="648"/>
      <c r="C15" s="585"/>
      <c r="D15" s="648"/>
      <c r="E15" s="587"/>
      <c r="F15" s="585"/>
      <c r="G15" s="646"/>
      <c r="H15" s="594"/>
      <c r="I15" s="647"/>
      <c r="J15" s="585"/>
      <c r="K15" s="23"/>
      <c r="L15" s="23"/>
      <c r="M15" s="23"/>
    </row>
    <row r="16" spans="1:16" ht="15.75" customHeight="1" x14ac:dyDescent="0.2">
      <c r="A16" s="22" t="s">
        <v>289</v>
      </c>
      <c r="B16" s="648"/>
      <c r="C16" s="585"/>
      <c r="D16" s="648"/>
      <c r="E16" s="587"/>
      <c r="F16" s="585"/>
      <c r="G16" s="646"/>
      <c r="H16" s="594"/>
      <c r="I16" s="647"/>
      <c r="J16" s="585"/>
      <c r="K16" s="23"/>
      <c r="L16" s="23"/>
      <c r="M16" s="23"/>
    </row>
    <row r="17" spans="1:30" ht="15.75" customHeight="1" x14ac:dyDescent="0.2">
      <c r="A17" s="22" t="s">
        <v>290</v>
      </c>
      <c r="B17" s="648"/>
      <c r="C17" s="585"/>
      <c r="D17" s="648"/>
      <c r="E17" s="587"/>
      <c r="F17" s="585"/>
      <c r="G17" s="646"/>
      <c r="H17" s="594"/>
      <c r="I17" s="647"/>
      <c r="J17" s="585"/>
      <c r="K17" s="23"/>
      <c r="L17" s="23"/>
      <c r="M17" s="23"/>
    </row>
    <row r="18" spans="1:30" ht="15.75" customHeight="1" x14ac:dyDescent="0.2">
      <c r="A18" s="22" t="s">
        <v>291</v>
      </c>
      <c r="B18" s="648"/>
      <c r="C18" s="585"/>
      <c r="D18" s="648"/>
      <c r="E18" s="587"/>
      <c r="F18" s="585"/>
      <c r="G18" s="646"/>
      <c r="H18" s="594"/>
      <c r="I18" s="647"/>
      <c r="J18" s="585"/>
      <c r="K18" s="23"/>
      <c r="L18" s="23"/>
      <c r="M18" s="23"/>
    </row>
    <row r="19" spans="1:30" ht="15.75" customHeight="1" x14ac:dyDescent="0.2">
      <c r="A19" s="22" t="s">
        <v>292</v>
      </c>
      <c r="B19" s="648"/>
      <c r="C19" s="585"/>
      <c r="D19" s="648"/>
      <c r="E19" s="587"/>
      <c r="F19" s="585"/>
      <c r="G19" s="646"/>
      <c r="H19" s="594"/>
      <c r="I19" s="647"/>
      <c r="J19" s="585"/>
      <c r="K19" s="23"/>
      <c r="L19" s="23"/>
      <c r="M19" s="23"/>
    </row>
    <row r="20" spans="1:30" ht="15.75" customHeight="1" x14ac:dyDescent="0.2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</row>
    <row r="21" spans="1:30" ht="15.75" customHeight="1" x14ac:dyDescent="0.2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</row>
    <row r="22" spans="1:30" ht="15.75" customHeight="1" x14ac:dyDescent="0.2">
      <c r="A22" s="651" t="s">
        <v>293</v>
      </c>
      <c r="B22" s="608"/>
      <c r="C22" s="608"/>
      <c r="D22" s="608"/>
      <c r="E22" s="608"/>
      <c r="F22" s="608"/>
      <c r="G22" s="608"/>
      <c r="H22" s="608"/>
      <c r="I22" s="608"/>
      <c r="J22" s="608"/>
      <c r="K22" s="608"/>
      <c r="L22" s="608"/>
      <c r="M22" s="609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 spans="1:3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 spans="1:30" ht="15.75" customHeight="1" x14ac:dyDescent="0.2">
      <c r="A24" s="19" t="s">
        <v>19</v>
      </c>
      <c r="B24" s="650" t="s">
        <v>32</v>
      </c>
      <c r="C24" s="585"/>
      <c r="D24" s="650" t="s">
        <v>25</v>
      </c>
      <c r="E24" s="587"/>
      <c r="F24" s="585"/>
      <c r="G24" s="650" t="s">
        <v>36</v>
      </c>
      <c r="H24" s="585"/>
      <c r="I24" s="650" t="s">
        <v>48</v>
      </c>
      <c r="J24" s="585"/>
      <c r="K24" s="19" t="s">
        <v>44</v>
      </c>
      <c r="L24" s="19"/>
      <c r="M24" s="19" t="s">
        <v>122</v>
      </c>
      <c r="N24" s="13"/>
      <c r="O24" s="20" t="s">
        <v>48</v>
      </c>
      <c r="P24" s="21" t="s">
        <v>44</v>
      </c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 spans="1:30" ht="15.75" customHeight="1" x14ac:dyDescent="0.2">
      <c r="A25" s="22" t="s">
        <v>276</v>
      </c>
      <c r="B25" s="648"/>
      <c r="C25" s="585"/>
      <c r="D25" s="648"/>
      <c r="E25" s="587"/>
      <c r="F25" s="585"/>
      <c r="G25" s="648"/>
      <c r="H25" s="585"/>
      <c r="I25" s="647"/>
      <c r="J25" s="585"/>
      <c r="K25" s="23"/>
      <c r="L25" s="23"/>
      <c r="M25" s="23"/>
      <c r="N25" s="13"/>
      <c r="O25" s="649" t="s">
        <v>277</v>
      </c>
      <c r="P25" s="649" t="s">
        <v>30</v>
      </c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 spans="1:30" ht="15.75" customHeight="1" x14ac:dyDescent="0.2">
      <c r="A26" s="22" t="s">
        <v>278</v>
      </c>
      <c r="B26" s="648"/>
      <c r="C26" s="585"/>
      <c r="D26" s="648"/>
      <c r="E26" s="587"/>
      <c r="F26" s="585"/>
      <c r="G26" s="646"/>
      <c r="H26" s="594"/>
      <c r="I26" s="647"/>
      <c r="J26" s="585"/>
      <c r="K26" s="23"/>
      <c r="L26" s="23"/>
      <c r="M26" s="23"/>
      <c r="N26" s="13"/>
      <c r="O26" s="602"/>
      <c r="P26" s="602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 spans="1:30" ht="15.75" customHeight="1" x14ac:dyDescent="0.2">
      <c r="A27" s="22" t="s">
        <v>279</v>
      </c>
      <c r="B27" s="648"/>
      <c r="C27" s="585"/>
      <c r="D27" s="648"/>
      <c r="E27" s="587"/>
      <c r="F27" s="585"/>
      <c r="G27" s="646"/>
      <c r="H27" s="594"/>
      <c r="I27" s="647"/>
      <c r="J27" s="585"/>
      <c r="K27" s="23"/>
      <c r="L27" s="23"/>
      <c r="M27" s="23"/>
      <c r="N27" s="13"/>
      <c r="O27" s="603"/>
      <c r="P27" s="602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 spans="1:30" ht="15.75" customHeight="1" x14ac:dyDescent="0.2">
      <c r="A28" s="22" t="s">
        <v>280</v>
      </c>
      <c r="B28" s="648"/>
      <c r="C28" s="585"/>
      <c r="D28" s="648"/>
      <c r="E28" s="587"/>
      <c r="F28" s="585"/>
      <c r="G28" s="646"/>
      <c r="H28" s="594"/>
      <c r="I28" s="647"/>
      <c r="J28" s="585"/>
      <c r="K28" s="23"/>
      <c r="L28" s="23"/>
      <c r="M28" s="23"/>
      <c r="N28" s="13"/>
      <c r="O28" s="6"/>
      <c r="P28" s="602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 spans="1:30" ht="15.75" customHeight="1" x14ac:dyDescent="0.2">
      <c r="A29" s="22" t="s">
        <v>281</v>
      </c>
      <c r="B29" s="648"/>
      <c r="C29" s="585"/>
      <c r="D29" s="648"/>
      <c r="E29" s="587"/>
      <c r="F29" s="585"/>
      <c r="G29" s="646"/>
      <c r="H29" s="594"/>
      <c r="I29" s="647"/>
      <c r="J29" s="585"/>
      <c r="K29" s="24" t="s">
        <v>282</v>
      </c>
      <c r="L29" s="24"/>
      <c r="M29" s="23"/>
      <c r="N29" s="13"/>
      <c r="O29" s="649" t="s">
        <v>283</v>
      </c>
      <c r="P29" s="60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 spans="1:30" ht="15.75" customHeight="1" x14ac:dyDescent="0.2">
      <c r="A30" s="22" t="s">
        <v>284</v>
      </c>
      <c r="B30" s="648"/>
      <c r="C30" s="585"/>
      <c r="D30" s="648"/>
      <c r="E30" s="587"/>
      <c r="F30" s="585"/>
      <c r="G30" s="646"/>
      <c r="H30" s="594"/>
      <c r="I30" s="647"/>
      <c r="J30" s="585"/>
      <c r="K30" s="23"/>
      <c r="L30" s="23"/>
      <c r="M30" s="23"/>
      <c r="N30" s="13"/>
      <c r="O30" s="602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 spans="1:30" ht="15.75" customHeight="1" x14ac:dyDescent="0.2">
      <c r="A31" s="22" t="s">
        <v>285</v>
      </c>
      <c r="B31" s="648"/>
      <c r="C31" s="585"/>
      <c r="D31" s="648"/>
      <c r="E31" s="587"/>
      <c r="F31" s="585"/>
      <c r="G31" s="646"/>
      <c r="H31" s="594"/>
      <c r="I31" s="647"/>
      <c r="J31" s="585"/>
      <c r="K31" s="23"/>
      <c r="L31" s="23"/>
      <c r="M31" s="23"/>
      <c r="N31" s="13"/>
      <c r="O31" s="602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 spans="1:30" ht="15.75" customHeight="1" x14ac:dyDescent="0.2">
      <c r="A32" s="22" t="s">
        <v>286</v>
      </c>
      <c r="B32" s="648"/>
      <c r="C32" s="585"/>
      <c r="D32" s="648"/>
      <c r="E32" s="587"/>
      <c r="F32" s="585"/>
      <c r="G32" s="646"/>
      <c r="H32" s="594"/>
      <c r="I32" s="647"/>
      <c r="J32" s="585"/>
      <c r="K32" s="23"/>
      <c r="L32" s="23"/>
      <c r="M32" s="23"/>
      <c r="N32" s="13"/>
      <c r="O32" s="60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 spans="1:30" ht="15.75" customHeight="1" x14ac:dyDescent="0.2">
      <c r="A33" s="22" t="s">
        <v>287</v>
      </c>
      <c r="B33" s="648"/>
      <c r="C33" s="585"/>
      <c r="D33" s="648"/>
      <c r="E33" s="587"/>
      <c r="F33" s="585"/>
      <c r="G33" s="646"/>
      <c r="H33" s="594"/>
      <c r="I33" s="647"/>
      <c r="J33" s="585"/>
      <c r="K33" s="23"/>
      <c r="L33" s="23"/>
      <c r="M33" s="2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 spans="1:30" ht="15.75" customHeight="1" x14ac:dyDescent="0.2">
      <c r="A34" s="22" t="s">
        <v>288</v>
      </c>
      <c r="B34" s="648"/>
      <c r="C34" s="585"/>
      <c r="D34" s="648"/>
      <c r="E34" s="587"/>
      <c r="F34" s="585"/>
      <c r="G34" s="646"/>
      <c r="H34" s="594"/>
      <c r="I34" s="647"/>
      <c r="J34" s="585"/>
      <c r="K34" s="23"/>
      <c r="L34" s="23"/>
      <c r="M34" s="2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 spans="1:30" ht="15.75" customHeight="1" x14ac:dyDescent="0.2">
      <c r="A35" s="22" t="s">
        <v>289</v>
      </c>
      <c r="B35" s="648"/>
      <c r="C35" s="585"/>
      <c r="D35" s="648"/>
      <c r="E35" s="587"/>
      <c r="F35" s="585"/>
      <c r="G35" s="646"/>
      <c r="H35" s="594"/>
      <c r="I35" s="647"/>
      <c r="J35" s="585"/>
      <c r="K35" s="23"/>
      <c r="L35" s="23"/>
      <c r="M35" s="2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 spans="1:30" ht="15.75" customHeight="1" x14ac:dyDescent="0.2">
      <c r="A36" s="22" t="s">
        <v>290</v>
      </c>
      <c r="B36" s="648"/>
      <c r="C36" s="585"/>
      <c r="D36" s="648"/>
      <c r="E36" s="587"/>
      <c r="F36" s="585"/>
      <c r="G36" s="646"/>
      <c r="H36" s="594"/>
      <c r="I36" s="647"/>
      <c r="J36" s="585"/>
      <c r="K36" s="23"/>
      <c r="L36" s="23"/>
      <c r="M36" s="2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 spans="1:30" ht="15.75" customHeight="1" x14ac:dyDescent="0.2">
      <c r="A37" s="22" t="s">
        <v>291</v>
      </c>
      <c r="B37" s="648"/>
      <c r="C37" s="585"/>
      <c r="D37" s="648"/>
      <c r="E37" s="587"/>
      <c r="F37" s="585"/>
      <c r="G37" s="646"/>
      <c r="H37" s="594"/>
      <c r="I37" s="647"/>
      <c r="J37" s="585"/>
      <c r="K37" s="23"/>
      <c r="L37" s="23"/>
      <c r="M37" s="2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 spans="1:30" ht="15.75" customHeight="1" x14ac:dyDescent="0.2">
      <c r="A38" s="22" t="s">
        <v>292</v>
      </c>
      <c r="B38" s="648"/>
      <c r="C38" s="585"/>
      <c r="D38" s="648"/>
      <c r="E38" s="587"/>
      <c r="F38" s="585"/>
      <c r="G38" s="646"/>
      <c r="H38" s="594"/>
      <c r="I38" s="647"/>
      <c r="J38" s="585"/>
      <c r="K38" s="23"/>
      <c r="L38" s="23"/>
      <c r="M38" s="2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 spans="1:3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 spans="1:3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 spans="1:30" ht="15.75" customHeight="1" x14ac:dyDescent="0.2">
      <c r="A41" s="607" t="s">
        <v>294</v>
      </c>
      <c r="B41" s="608"/>
      <c r="C41" s="608"/>
      <c r="D41" s="608"/>
      <c r="E41" s="608"/>
      <c r="F41" s="608"/>
      <c r="G41" s="608"/>
      <c r="H41" s="608"/>
      <c r="I41" s="608"/>
      <c r="J41" s="608"/>
      <c r="K41" s="608"/>
      <c r="L41" s="608"/>
      <c r="M41" s="609"/>
    </row>
    <row r="42" spans="1:30" ht="15.75" customHeight="1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</row>
    <row r="43" spans="1:30" ht="15.75" customHeight="1" x14ac:dyDescent="0.25">
      <c r="A43" s="25" t="s">
        <v>19</v>
      </c>
      <c r="B43" s="605" t="s">
        <v>32</v>
      </c>
      <c r="C43" s="585"/>
      <c r="D43" s="605" t="s">
        <v>25</v>
      </c>
      <c r="E43" s="587"/>
      <c r="F43" s="585"/>
      <c r="G43" s="605" t="s">
        <v>36</v>
      </c>
      <c r="H43" s="585"/>
      <c r="I43" s="605" t="s">
        <v>48</v>
      </c>
      <c r="J43" s="585"/>
      <c r="K43" s="25" t="s">
        <v>44</v>
      </c>
      <c r="L43" s="25"/>
      <c r="M43" s="25" t="s">
        <v>122</v>
      </c>
      <c r="O43" s="27"/>
      <c r="P43" s="27"/>
    </row>
    <row r="44" spans="1:30" ht="15.75" customHeight="1" x14ac:dyDescent="0.2">
      <c r="A44" s="28" t="s">
        <v>276</v>
      </c>
      <c r="D44" s="653" t="s">
        <v>295</v>
      </c>
      <c r="E44" s="595"/>
      <c r="F44" s="590"/>
      <c r="G44" s="599" t="s">
        <v>296</v>
      </c>
      <c r="H44" s="590"/>
      <c r="I44" s="653" t="s">
        <v>297</v>
      </c>
      <c r="J44" s="590"/>
      <c r="K44" s="653" t="s">
        <v>298</v>
      </c>
      <c r="L44" s="590"/>
      <c r="M44" s="467" t="s">
        <v>299</v>
      </c>
      <c r="O44" s="649"/>
      <c r="P44" s="649"/>
    </row>
    <row r="45" spans="1:30" ht="15.75" customHeight="1" x14ac:dyDescent="0.2">
      <c r="A45" s="28" t="s">
        <v>278</v>
      </c>
      <c r="D45" s="591"/>
      <c r="E45" s="596"/>
      <c r="F45" s="592"/>
      <c r="G45" s="591"/>
      <c r="H45" s="592"/>
      <c r="I45" s="591"/>
      <c r="J45" s="592"/>
      <c r="K45" s="591"/>
      <c r="L45" s="592"/>
      <c r="M45" s="602"/>
      <c r="O45" s="602"/>
      <c r="P45" s="602"/>
    </row>
    <row r="46" spans="1:30" ht="15.75" customHeight="1" x14ac:dyDescent="0.2">
      <c r="A46" s="28" t="s">
        <v>279</v>
      </c>
      <c r="D46" s="591"/>
      <c r="E46" s="596"/>
      <c r="F46" s="592"/>
      <c r="G46" s="591"/>
      <c r="H46" s="592"/>
      <c r="I46" s="591"/>
      <c r="J46" s="592"/>
      <c r="K46" s="591"/>
      <c r="L46" s="592"/>
      <c r="M46" s="602"/>
      <c r="O46" s="602"/>
      <c r="P46" s="602"/>
    </row>
    <row r="47" spans="1:30" ht="15.75" customHeight="1" x14ac:dyDescent="0.2">
      <c r="A47" s="28" t="s">
        <v>280</v>
      </c>
      <c r="D47" s="593"/>
      <c r="E47" s="597"/>
      <c r="F47" s="594"/>
      <c r="G47" s="591"/>
      <c r="H47" s="592"/>
      <c r="I47" s="591"/>
      <c r="J47" s="592"/>
      <c r="K47" s="593"/>
      <c r="L47" s="594"/>
      <c r="M47" s="603"/>
      <c r="O47" s="603"/>
      <c r="P47" s="602"/>
    </row>
    <row r="48" spans="1:30" ht="15.75" customHeight="1" x14ac:dyDescent="0.2">
      <c r="A48" s="28" t="s">
        <v>281</v>
      </c>
      <c r="D48" s="645"/>
      <c r="E48" s="587"/>
      <c r="F48" s="585"/>
      <c r="G48" s="593"/>
      <c r="H48" s="594"/>
      <c r="I48" s="593"/>
      <c r="J48" s="594"/>
      <c r="K48" s="24" t="s">
        <v>282</v>
      </c>
      <c r="L48" s="24"/>
      <c r="M48" s="29"/>
      <c r="O48" s="11"/>
      <c r="P48" s="603"/>
    </row>
    <row r="49" spans="1:15" ht="15.75" customHeight="1" x14ac:dyDescent="0.2">
      <c r="A49" s="28" t="s">
        <v>284</v>
      </c>
      <c r="B49" s="643"/>
      <c r="C49" s="585"/>
      <c r="D49" s="645"/>
      <c r="E49" s="587"/>
      <c r="F49" s="585"/>
      <c r="G49" s="643"/>
      <c r="H49" s="585"/>
      <c r="I49" s="650"/>
      <c r="J49" s="585"/>
      <c r="K49" s="29"/>
      <c r="L49" s="29"/>
      <c r="M49" s="29"/>
      <c r="O49" s="649"/>
    </row>
    <row r="50" spans="1:15" ht="15.75" customHeight="1" x14ac:dyDescent="0.2">
      <c r="A50" s="28" t="s">
        <v>285</v>
      </c>
      <c r="B50" s="654" t="s">
        <v>300</v>
      </c>
      <c r="C50" s="590"/>
      <c r="D50" s="652" t="s">
        <v>301</v>
      </c>
      <c r="E50" s="595"/>
      <c r="F50" s="590"/>
      <c r="G50" s="653"/>
      <c r="H50" s="590"/>
      <c r="I50" s="654"/>
      <c r="J50" s="590"/>
      <c r="K50" s="653"/>
      <c r="L50" s="590"/>
      <c r="M50" s="29"/>
      <c r="O50" s="602"/>
    </row>
    <row r="51" spans="1:15" ht="15.75" customHeight="1" x14ac:dyDescent="0.2">
      <c r="A51" s="28" t="s">
        <v>286</v>
      </c>
      <c r="B51" s="591"/>
      <c r="C51" s="592"/>
      <c r="D51" s="591"/>
      <c r="E51" s="596"/>
      <c r="F51" s="592"/>
      <c r="G51" s="591"/>
      <c r="H51" s="592"/>
      <c r="I51" s="591"/>
      <c r="J51" s="592"/>
      <c r="K51" s="591"/>
      <c r="L51" s="592"/>
      <c r="M51" s="29"/>
      <c r="O51" s="602"/>
    </row>
    <row r="52" spans="1:15" ht="15.75" customHeight="1" x14ac:dyDescent="0.2">
      <c r="A52" s="28" t="s">
        <v>287</v>
      </c>
      <c r="B52" s="591"/>
      <c r="C52" s="592"/>
      <c r="D52" s="591"/>
      <c r="E52" s="596"/>
      <c r="F52" s="592"/>
      <c r="G52" s="591"/>
      <c r="H52" s="592"/>
      <c r="I52" s="591"/>
      <c r="J52" s="592"/>
      <c r="K52" s="591"/>
      <c r="L52" s="592"/>
      <c r="M52" s="29"/>
      <c r="O52" s="603"/>
    </row>
    <row r="53" spans="1:15" ht="15.75" customHeight="1" x14ac:dyDescent="0.2">
      <c r="A53" s="28" t="s">
        <v>288</v>
      </c>
      <c r="B53" s="591"/>
      <c r="C53" s="592"/>
      <c r="D53" s="614"/>
      <c r="E53" s="616"/>
      <c r="F53" s="615"/>
      <c r="G53" s="593"/>
      <c r="H53" s="594"/>
      <c r="I53" s="591"/>
      <c r="J53" s="592"/>
      <c r="K53" s="593"/>
      <c r="L53" s="594"/>
      <c r="M53" s="29"/>
    </row>
    <row r="54" spans="1:15" ht="15.75" customHeight="1" x14ac:dyDescent="0.2">
      <c r="A54" s="28" t="s">
        <v>289</v>
      </c>
      <c r="B54" s="593"/>
      <c r="C54" s="594"/>
      <c r="D54" s="645"/>
      <c r="E54" s="587"/>
      <c r="F54" s="585"/>
      <c r="G54" s="643"/>
      <c r="H54" s="585"/>
      <c r="I54" s="593"/>
      <c r="J54" s="594"/>
      <c r="K54" s="29"/>
      <c r="L54" s="29"/>
      <c r="M54" s="29"/>
    </row>
    <row r="55" spans="1:15" ht="15.75" customHeight="1" x14ac:dyDescent="0.2">
      <c r="A55" s="28" t="s">
        <v>290</v>
      </c>
      <c r="B55" s="645"/>
      <c r="C55" s="585"/>
      <c r="D55" s="645"/>
      <c r="E55" s="587"/>
      <c r="F55" s="585"/>
      <c r="G55" s="643"/>
      <c r="H55" s="585"/>
      <c r="K55" s="29"/>
      <c r="L55" s="29"/>
      <c r="M55" s="29"/>
    </row>
    <row r="56" spans="1:15" ht="15.75" customHeight="1" x14ac:dyDescent="0.2">
      <c r="A56" s="28" t="s">
        <v>291</v>
      </c>
      <c r="B56" s="645"/>
      <c r="C56" s="585"/>
      <c r="D56" s="645"/>
      <c r="E56" s="587"/>
      <c r="F56" s="585"/>
      <c r="G56" s="643"/>
      <c r="H56" s="585"/>
      <c r="K56" s="29"/>
      <c r="L56" s="29"/>
      <c r="M56" s="29"/>
    </row>
    <row r="57" spans="1:15" ht="15.75" customHeight="1" x14ac:dyDescent="0.2">
      <c r="A57" s="28" t="s">
        <v>292</v>
      </c>
      <c r="B57" s="645"/>
      <c r="C57" s="585"/>
      <c r="D57" s="645"/>
      <c r="E57" s="587"/>
      <c r="F57" s="585"/>
      <c r="G57" s="643"/>
      <c r="H57" s="585"/>
      <c r="K57" s="29"/>
      <c r="L57" s="29"/>
      <c r="M57" s="29"/>
    </row>
    <row r="58" spans="1:15" ht="15.75" customHeight="1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</row>
    <row r="59" spans="1:15" ht="15.75" customHeight="1" x14ac:dyDescent="0.2">
      <c r="A59" s="607" t="s">
        <v>302</v>
      </c>
      <c r="B59" s="608"/>
      <c r="C59" s="608"/>
      <c r="D59" s="608"/>
      <c r="E59" s="608"/>
      <c r="F59" s="608"/>
      <c r="G59" s="608"/>
      <c r="H59" s="608"/>
      <c r="I59" s="608"/>
      <c r="J59" s="608"/>
      <c r="K59" s="608"/>
      <c r="L59" s="608"/>
      <c r="M59" s="609"/>
    </row>
    <row r="60" spans="1:15" ht="15.75" customHeight="1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</row>
    <row r="61" spans="1:15" ht="15.75" customHeight="1" x14ac:dyDescent="0.2">
      <c r="A61" s="25" t="s">
        <v>19</v>
      </c>
      <c r="B61" s="605" t="s">
        <v>32</v>
      </c>
      <c r="C61" s="585"/>
      <c r="D61" s="605" t="s">
        <v>25</v>
      </c>
      <c r="E61" s="587"/>
      <c r="F61" s="585"/>
      <c r="G61" s="605" t="s">
        <v>36</v>
      </c>
      <c r="H61" s="585"/>
      <c r="I61" s="605" t="s">
        <v>48</v>
      </c>
      <c r="J61" s="585"/>
      <c r="K61" s="25" t="s">
        <v>44</v>
      </c>
      <c r="L61" s="25"/>
      <c r="M61" s="25" t="s">
        <v>122</v>
      </c>
    </row>
    <row r="62" spans="1:15" ht="15" customHeight="1" x14ac:dyDescent="0.2">
      <c r="A62" s="28" t="s">
        <v>276</v>
      </c>
      <c r="B62" s="599" t="s">
        <v>303</v>
      </c>
      <c r="C62" s="590"/>
      <c r="D62" s="589" t="s">
        <v>304</v>
      </c>
      <c r="E62" s="595"/>
      <c r="F62" s="590"/>
      <c r="G62" s="589" t="s">
        <v>305</v>
      </c>
      <c r="H62" s="590"/>
      <c r="I62" s="589" t="s">
        <v>306</v>
      </c>
      <c r="J62" s="590"/>
      <c r="K62" s="589" t="s">
        <v>307</v>
      </c>
      <c r="L62" s="590"/>
      <c r="M62" s="601" t="s">
        <v>308</v>
      </c>
    </row>
    <row r="63" spans="1:15" ht="15.75" customHeight="1" x14ac:dyDescent="0.2">
      <c r="A63" s="28" t="s">
        <v>278</v>
      </c>
      <c r="B63" s="591"/>
      <c r="C63" s="592"/>
      <c r="D63" s="591"/>
      <c r="E63" s="596"/>
      <c r="F63" s="592"/>
      <c r="G63" s="591"/>
      <c r="H63" s="592"/>
      <c r="I63" s="591"/>
      <c r="J63" s="592"/>
      <c r="K63" s="591"/>
      <c r="L63" s="592"/>
      <c r="M63" s="602"/>
    </row>
    <row r="64" spans="1:15" ht="15.75" customHeight="1" x14ac:dyDescent="0.2">
      <c r="A64" s="28" t="s">
        <v>279</v>
      </c>
      <c r="B64" s="591"/>
      <c r="C64" s="592"/>
      <c r="D64" s="591"/>
      <c r="E64" s="596"/>
      <c r="F64" s="592"/>
      <c r="G64" s="591"/>
      <c r="H64" s="592"/>
      <c r="I64" s="591"/>
      <c r="J64" s="592"/>
      <c r="K64" s="591"/>
      <c r="L64" s="592"/>
      <c r="M64" s="602"/>
    </row>
    <row r="65" spans="1:16" ht="15.75" customHeight="1" x14ac:dyDescent="0.2">
      <c r="A65" s="28" t="s">
        <v>280</v>
      </c>
      <c r="B65" s="591"/>
      <c r="C65" s="592"/>
      <c r="D65" s="591"/>
      <c r="E65" s="596"/>
      <c r="F65" s="592"/>
      <c r="G65" s="614"/>
      <c r="H65" s="615"/>
      <c r="I65" s="591"/>
      <c r="J65" s="592"/>
      <c r="K65" s="593"/>
      <c r="L65" s="594"/>
      <c r="M65" s="602"/>
    </row>
    <row r="66" spans="1:16" ht="15.75" customHeight="1" x14ac:dyDescent="0.2">
      <c r="A66" s="28" t="s">
        <v>281</v>
      </c>
      <c r="B66" s="593"/>
      <c r="C66" s="594"/>
      <c r="D66" s="593"/>
      <c r="E66" s="597"/>
      <c r="F66" s="594"/>
      <c r="G66" s="30"/>
      <c r="H66" s="31"/>
      <c r="I66" s="593"/>
      <c r="J66" s="594"/>
      <c r="K66" s="24" t="s">
        <v>282</v>
      </c>
      <c r="L66" s="24"/>
      <c r="M66" s="603"/>
    </row>
    <row r="67" spans="1:16" ht="15.75" customHeight="1" x14ac:dyDescent="0.2">
      <c r="A67" s="28" t="s">
        <v>284</v>
      </c>
      <c r="B67" s="627"/>
      <c r="C67" s="585"/>
      <c r="D67" s="627"/>
      <c r="E67" s="587"/>
      <c r="F67" s="585"/>
      <c r="G67" s="588"/>
      <c r="H67" s="585"/>
      <c r="I67" s="588"/>
      <c r="J67" s="585"/>
      <c r="K67" s="29"/>
      <c r="L67" s="29"/>
      <c r="M67" s="29"/>
    </row>
    <row r="68" spans="1:16" ht="15" customHeight="1" x14ac:dyDescent="0.2">
      <c r="A68" s="28" t="s">
        <v>285</v>
      </c>
      <c r="D68" s="589" t="s">
        <v>309</v>
      </c>
      <c r="E68" s="595"/>
      <c r="F68" s="590"/>
      <c r="G68" s="589" t="s">
        <v>310</v>
      </c>
      <c r="H68" s="590"/>
      <c r="I68" s="588"/>
      <c r="J68" s="585"/>
      <c r="M68" s="3"/>
    </row>
    <row r="69" spans="1:16" ht="15.75" customHeight="1" x14ac:dyDescent="0.2">
      <c r="A69" s="28" t="s">
        <v>286</v>
      </c>
      <c r="D69" s="591"/>
      <c r="E69" s="596"/>
      <c r="F69" s="592"/>
      <c r="G69" s="591"/>
      <c r="H69" s="592"/>
      <c r="I69" s="588"/>
      <c r="J69" s="585"/>
      <c r="M69" s="3"/>
    </row>
    <row r="70" spans="1:16" ht="15.75" customHeight="1" x14ac:dyDescent="0.2">
      <c r="A70" s="28" t="s">
        <v>287</v>
      </c>
      <c r="D70" s="591"/>
      <c r="E70" s="596"/>
      <c r="F70" s="592"/>
      <c r="G70" s="591"/>
      <c r="H70" s="592"/>
      <c r="I70" s="588"/>
      <c r="J70" s="585"/>
      <c r="M70" s="3"/>
    </row>
    <row r="71" spans="1:16" ht="15.75" customHeight="1" x14ac:dyDescent="0.2">
      <c r="A71" s="28" t="s">
        <v>288</v>
      </c>
      <c r="D71" s="593"/>
      <c r="E71" s="597"/>
      <c r="F71" s="594"/>
      <c r="G71" s="593"/>
      <c r="H71" s="594"/>
      <c r="I71" s="588"/>
      <c r="J71" s="585"/>
      <c r="M71" s="3"/>
    </row>
    <row r="72" spans="1:16" ht="15.75" customHeight="1" x14ac:dyDescent="0.2">
      <c r="A72" s="28" t="s">
        <v>289</v>
      </c>
      <c r="D72" s="32"/>
      <c r="E72" s="33"/>
      <c r="F72" s="34"/>
      <c r="G72" s="643"/>
      <c r="H72" s="585"/>
      <c r="I72" s="588"/>
      <c r="J72" s="585"/>
      <c r="K72" s="29"/>
      <c r="L72" s="29"/>
      <c r="M72" s="3"/>
    </row>
    <row r="73" spans="1:16" ht="15.75" customHeight="1" x14ac:dyDescent="0.2">
      <c r="A73" s="28" t="s">
        <v>290</v>
      </c>
      <c r="B73" s="643"/>
      <c r="C73" s="585"/>
      <c r="D73" s="32"/>
      <c r="E73" s="33"/>
      <c r="F73" s="34"/>
      <c r="G73" s="643"/>
      <c r="H73" s="585"/>
      <c r="I73" s="588"/>
      <c r="J73" s="585"/>
      <c r="K73" s="29"/>
      <c r="L73" s="29"/>
      <c r="M73" s="29"/>
    </row>
    <row r="74" spans="1:16" ht="15.75" customHeight="1" x14ac:dyDescent="0.2">
      <c r="A74" s="28" t="s">
        <v>291</v>
      </c>
      <c r="B74" s="643"/>
      <c r="C74" s="585"/>
      <c r="D74" s="32"/>
      <c r="E74" s="33"/>
      <c r="F74" s="34"/>
      <c r="G74" s="643"/>
      <c r="H74" s="585"/>
      <c r="I74" s="588"/>
      <c r="J74" s="585"/>
      <c r="K74" s="29"/>
      <c r="L74" s="29"/>
      <c r="M74" s="29"/>
    </row>
    <row r="75" spans="1:16" ht="15.75" customHeight="1" x14ac:dyDescent="0.2">
      <c r="A75" s="28" t="s">
        <v>292</v>
      </c>
      <c r="B75" s="643"/>
      <c r="C75" s="585"/>
      <c r="D75" s="32"/>
      <c r="E75" s="33"/>
      <c r="F75" s="34"/>
      <c r="G75" s="643"/>
      <c r="H75" s="585"/>
      <c r="I75" s="588"/>
      <c r="J75" s="585"/>
      <c r="K75" s="29"/>
      <c r="L75" s="29"/>
      <c r="M75" s="29"/>
    </row>
    <row r="76" spans="1:16" ht="15.75" customHeight="1" x14ac:dyDescent="0.2">
      <c r="A76" s="35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</row>
    <row r="77" spans="1:16" ht="15.75" customHeight="1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</row>
    <row r="78" spans="1:16" ht="15.75" customHeight="1" x14ac:dyDescent="0.2">
      <c r="A78" s="607" t="s">
        <v>311</v>
      </c>
      <c r="B78" s="608"/>
      <c r="C78" s="608"/>
      <c r="D78" s="608"/>
      <c r="E78" s="608"/>
      <c r="F78" s="608"/>
      <c r="G78" s="608"/>
      <c r="H78" s="608"/>
      <c r="I78" s="608"/>
      <c r="J78" s="608"/>
      <c r="K78" s="608"/>
      <c r="L78" s="608"/>
      <c r="M78" s="609"/>
    </row>
    <row r="79" spans="1:16" ht="15.75" customHeight="1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</row>
    <row r="80" spans="1:16" ht="15.75" customHeight="1" x14ac:dyDescent="0.25">
      <c r="A80" s="25" t="s">
        <v>19</v>
      </c>
      <c r="B80" s="605" t="s">
        <v>32</v>
      </c>
      <c r="C80" s="585"/>
      <c r="D80" s="605" t="s">
        <v>25</v>
      </c>
      <c r="E80" s="587"/>
      <c r="F80" s="585"/>
      <c r="G80" s="605" t="s">
        <v>36</v>
      </c>
      <c r="H80" s="585"/>
      <c r="I80" s="605" t="s">
        <v>48</v>
      </c>
      <c r="J80" s="585"/>
      <c r="K80" s="25" t="s">
        <v>44</v>
      </c>
      <c r="L80" s="25"/>
      <c r="M80" s="25" t="s">
        <v>122</v>
      </c>
      <c r="O80" s="27" t="s">
        <v>25</v>
      </c>
      <c r="P80" s="27" t="s">
        <v>44</v>
      </c>
    </row>
    <row r="81" spans="1:16" ht="15.75" customHeight="1" x14ac:dyDescent="0.2">
      <c r="A81" s="28" t="s">
        <v>276</v>
      </c>
      <c r="B81" s="634" t="s">
        <v>312</v>
      </c>
      <c r="C81" s="37"/>
      <c r="D81" s="589" t="s">
        <v>313</v>
      </c>
      <c r="E81" s="595"/>
      <c r="F81" s="590"/>
      <c r="G81" s="628" t="s">
        <v>314</v>
      </c>
      <c r="H81" s="590"/>
      <c r="I81" s="628" t="s">
        <v>315</v>
      </c>
      <c r="J81" s="590"/>
      <c r="K81" s="628" t="s">
        <v>316</v>
      </c>
      <c r="L81" s="590"/>
      <c r="M81" s="38"/>
      <c r="O81" s="626" t="s">
        <v>317</v>
      </c>
      <c r="P81" s="630" t="s">
        <v>109</v>
      </c>
    </row>
    <row r="82" spans="1:16" ht="15.75" customHeight="1" x14ac:dyDescent="0.2">
      <c r="A82" s="28" t="s">
        <v>278</v>
      </c>
      <c r="B82" s="602"/>
      <c r="C82" s="39"/>
      <c r="D82" s="591"/>
      <c r="E82" s="596"/>
      <c r="F82" s="592"/>
      <c r="G82" s="591"/>
      <c r="H82" s="592"/>
      <c r="I82" s="591"/>
      <c r="J82" s="592"/>
      <c r="K82" s="591"/>
      <c r="L82" s="592"/>
      <c r="M82" s="3"/>
      <c r="O82" s="602"/>
      <c r="P82" s="602"/>
    </row>
    <row r="83" spans="1:16" ht="15.75" customHeight="1" x14ac:dyDescent="0.2">
      <c r="A83" s="28" t="s">
        <v>279</v>
      </c>
      <c r="B83" s="602"/>
      <c r="C83" s="39"/>
      <c r="D83" s="591"/>
      <c r="E83" s="596"/>
      <c r="F83" s="592"/>
      <c r="G83" s="591"/>
      <c r="H83" s="592"/>
      <c r="I83" s="591"/>
      <c r="J83" s="592"/>
      <c r="K83" s="591"/>
      <c r="L83" s="592"/>
      <c r="M83" s="3"/>
      <c r="O83" s="602"/>
      <c r="P83" s="602"/>
    </row>
    <row r="84" spans="1:16" ht="15.75" customHeight="1" x14ac:dyDescent="0.2">
      <c r="A84" s="28" t="s">
        <v>280</v>
      </c>
      <c r="B84" s="602"/>
      <c r="C84" s="39"/>
      <c r="D84" s="591"/>
      <c r="E84" s="596"/>
      <c r="F84" s="592"/>
      <c r="G84" s="614"/>
      <c r="H84" s="615"/>
      <c r="I84" s="593"/>
      <c r="J84" s="594"/>
      <c r="K84" s="593"/>
      <c r="L84" s="594"/>
      <c r="M84" s="3"/>
      <c r="O84" s="603"/>
      <c r="P84" s="602"/>
    </row>
    <row r="85" spans="1:16" ht="15.75" customHeight="1" x14ac:dyDescent="0.2">
      <c r="A85" s="28" t="s">
        <v>281</v>
      </c>
      <c r="B85" s="603"/>
      <c r="C85" s="40"/>
      <c r="D85" s="593"/>
      <c r="E85" s="597"/>
      <c r="F85" s="594"/>
      <c r="G85" s="41"/>
      <c r="H85" s="42"/>
      <c r="I85" s="588"/>
      <c r="J85" s="585"/>
      <c r="K85" s="24" t="s">
        <v>282</v>
      </c>
      <c r="L85" s="24"/>
      <c r="M85" s="3"/>
      <c r="O85" s="11"/>
      <c r="P85" s="603"/>
    </row>
    <row r="86" spans="1:16" ht="15.75" customHeight="1" x14ac:dyDescent="0.2">
      <c r="A86" s="28" t="s">
        <v>284</v>
      </c>
      <c r="D86" s="3"/>
      <c r="E86" s="632" t="s">
        <v>318</v>
      </c>
      <c r="F86" s="631" t="s">
        <v>319</v>
      </c>
      <c r="G86" s="627"/>
      <c r="H86" s="585"/>
      <c r="I86" s="628" t="s">
        <v>320</v>
      </c>
      <c r="J86" s="590"/>
      <c r="K86" s="628" t="s">
        <v>321</v>
      </c>
      <c r="L86" s="590"/>
      <c r="M86" s="19"/>
      <c r="O86" s="626" t="s">
        <v>102</v>
      </c>
    </row>
    <row r="87" spans="1:16" ht="15.75" customHeight="1" x14ac:dyDescent="0.2">
      <c r="A87" s="28" t="s">
        <v>285</v>
      </c>
      <c r="D87" s="3"/>
      <c r="E87" s="602"/>
      <c r="F87" s="602"/>
      <c r="G87" s="628" t="s">
        <v>322</v>
      </c>
      <c r="H87" s="590"/>
      <c r="I87" s="591"/>
      <c r="J87" s="592"/>
      <c r="K87" s="591"/>
      <c r="L87" s="592"/>
      <c r="M87" s="29"/>
      <c r="O87" s="602"/>
    </row>
    <row r="88" spans="1:16" ht="15.75" customHeight="1" x14ac:dyDescent="0.2">
      <c r="A88" s="28" t="s">
        <v>286</v>
      </c>
      <c r="D88" s="3"/>
      <c r="E88" s="602"/>
      <c r="F88" s="602"/>
      <c r="G88" s="591"/>
      <c r="H88" s="592"/>
      <c r="I88" s="591"/>
      <c r="J88" s="592"/>
      <c r="K88" s="591"/>
      <c r="L88" s="592"/>
      <c r="M88" s="29"/>
      <c r="O88" s="602"/>
    </row>
    <row r="89" spans="1:16" ht="15.75" customHeight="1" x14ac:dyDescent="0.2">
      <c r="A89" s="28" t="s">
        <v>287</v>
      </c>
      <c r="D89" s="3"/>
      <c r="E89" s="602"/>
      <c r="F89" s="602"/>
      <c r="G89" s="591"/>
      <c r="H89" s="592"/>
      <c r="I89" s="591"/>
      <c r="J89" s="592"/>
      <c r="K89" s="591"/>
      <c r="L89" s="592"/>
      <c r="M89" s="29"/>
      <c r="O89" s="603"/>
    </row>
    <row r="90" spans="1:16" ht="15.75" customHeight="1" x14ac:dyDescent="0.2">
      <c r="A90" s="28" t="s">
        <v>288</v>
      </c>
      <c r="B90" s="633"/>
      <c r="C90" s="585"/>
      <c r="D90" s="3"/>
      <c r="E90" s="603"/>
      <c r="F90" s="603"/>
      <c r="G90" s="593"/>
      <c r="H90" s="594"/>
      <c r="I90" s="593"/>
      <c r="J90" s="594"/>
      <c r="K90" s="593"/>
      <c r="L90" s="594"/>
      <c r="M90" s="43"/>
    </row>
    <row r="91" spans="1:16" ht="15.75" customHeight="1" x14ac:dyDescent="0.2">
      <c r="A91" s="28" t="s">
        <v>289</v>
      </c>
      <c r="B91" s="628" t="s">
        <v>323</v>
      </c>
      <c r="C91" s="590"/>
      <c r="D91" s="3"/>
      <c r="E91" s="12"/>
      <c r="F91" s="3"/>
      <c r="G91" s="629"/>
      <c r="H91" s="594"/>
      <c r="I91" s="629"/>
      <c r="J91" s="594"/>
      <c r="M91" s="43"/>
    </row>
    <row r="92" spans="1:16" ht="15.75" customHeight="1" x14ac:dyDescent="0.2">
      <c r="A92" s="28" t="s">
        <v>290</v>
      </c>
      <c r="B92" s="591"/>
      <c r="C92" s="592"/>
      <c r="D92" s="3"/>
      <c r="E92" s="12"/>
      <c r="F92" s="3"/>
      <c r="G92" s="629"/>
      <c r="H92" s="594"/>
      <c r="I92" s="629"/>
      <c r="J92" s="594"/>
      <c r="M92" s="43"/>
    </row>
    <row r="93" spans="1:16" ht="15.75" customHeight="1" x14ac:dyDescent="0.2">
      <c r="A93" s="28" t="s">
        <v>291</v>
      </c>
      <c r="B93" s="591"/>
      <c r="C93" s="592"/>
      <c r="D93" s="3"/>
      <c r="E93" s="12"/>
      <c r="F93" s="3"/>
      <c r="G93" s="629"/>
      <c r="H93" s="594"/>
      <c r="I93" s="629"/>
      <c r="J93" s="594"/>
      <c r="M93" s="43"/>
    </row>
    <row r="94" spans="1:16" ht="15.75" customHeight="1" x14ac:dyDescent="0.2">
      <c r="A94" s="28" t="s">
        <v>292</v>
      </c>
      <c r="B94" s="593"/>
      <c r="C94" s="594"/>
      <c r="D94" s="3"/>
      <c r="E94" s="12"/>
      <c r="F94" s="3"/>
      <c r="G94" s="629"/>
      <c r="H94" s="594"/>
      <c r="I94" s="629"/>
      <c r="J94" s="594"/>
      <c r="M94" s="43"/>
    </row>
    <row r="95" spans="1:16" ht="15.75" customHeight="1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</row>
    <row r="96" spans="1:16" ht="15.75" customHeight="1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</row>
    <row r="97" spans="1:13" ht="15.75" customHeight="1" x14ac:dyDescent="0.2">
      <c r="A97" s="644" t="s">
        <v>324</v>
      </c>
      <c r="B97" s="608"/>
      <c r="C97" s="608"/>
      <c r="D97" s="608"/>
      <c r="E97" s="608"/>
      <c r="F97" s="608"/>
      <c r="G97" s="608"/>
      <c r="H97" s="608"/>
      <c r="I97" s="608"/>
      <c r="J97" s="608"/>
      <c r="K97" s="608"/>
      <c r="L97" s="608"/>
      <c r="M97" s="609"/>
    </row>
    <row r="98" spans="1:13" ht="15.75" customHeight="1" x14ac:dyDescent="0.2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</row>
    <row r="99" spans="1:13" ht="15.75" customHeight="1" x14ac:dyDescent="0.2">
      <c r="A99" s="45" t="s">
        <v>19</v>
      </c>
      <c r="B99" s="622" t="s">
        <v>32</v>
      </c>
      <c r="C99" s="585"/>
      <c r="D99" s="622" t="s">
        <v>25</v>
      </c>
      <c r="E99" s="587"/>
      <c r="F99" s="585"/>
      <c r="G99" s="622" t="s">
        <v>36</v>
      </c>
      <c r="H99" s="585"/>
      <c r="I99" s="622" t="s">
        <v>48</v>
      </c>
      <c r="J99" s="585"/>
      <c r="K99" s="45" t="s">
        <v>44</v>
      </c>
      <c r="L99" s="622" t="s">
        <v>122</v>
      </c>
      <c r="M99" s="585"/>
    </row>
    <row r="100" spans="1:13" ht="15.75" customHeight="1" x14ac:dyDescent="0.2">
      <c r="A100" s="45" t="s">
        <v>276</v>
      </c>
      <c r="B100" s="634" t="s">
        <v>325</v>
      </c>
      <c r="C100" s="46"/>
      <c r="D100" s="47"/>
      <c r="E100" s="47"/>
      <c r="F100" s="624" t="s">
        <v>326</v>
      </c>
      <c r="G100" s="621"/>
      <c r="H100" s="585"/>
      <c r="I100" s="621"/>
      <c r="J100" s="585"/>
      <c r="K100" s="47"/>
      <c r="L100" s="47"/>
      <c r="M100" s="47"/>
    </row>
    <row r="101" spans="1:13" ht="15.75" customHeight="1" x14ac:dyDescent="0.2">
      <c r="A101" s="45" t="s">
        <v>278</v>
      </c>
      <c r="B101" s="602"/>
      <c r="C101" s="46"/>
      <c r="D101" s="47"/>
      <c r="E101" s="47"/>
      <c r="F101" s="602"/>
      <c r="G101" s="621"/>
      <c r="H101" s="585"/>
      <c r="I101" s="621"/>
      <c r="J101" s="585"/>
      <c r="K101" s="3"/>
      <c r="L101" s="3"/>
      <c r="M101" s="3"/>
    </row>
    <row r="102" spans="1:13" ht="15.75" customHeight="1" x14ac:dyDescent="0.2">
      <c r="A102" s="45" t="s">
        <v>279</v>
      </c>
      <c r="B102" s="602"/>
      <c r="C102" s="46"/>
      <c r="D102" s="47"/>
      <c r="E102" s="47"/>
      <c r="F102" s="602"/>
      <c r="G102" s="621"/>
      <c r="H102" s="585"/>
      <c r="I102" s="621"/>
      <c r="J102" s="585"/>
      <c r="K102" s="3"/>
      <c r="L102" s="3"/>
      <c r="M102" s="3"/>
    </row>
    <row r="103" spans="1:13" ht="15.75" customHeight="1" x14ac:dyDescent="0.2">
      <c r="A103" s="45" t="s">
        <v>280</v>
      </c>
      <c r="B103" s="602"/>
      <c r="C103" s="46"/>
      <c r="D103" s="47"/>
      <c r="E103" s="47"/>
      <c r="F103" s="603"/>
      <c r="G103" s="621"/>
      <c r="H103" s="585"/>
      <c r="I103" s="621"/>
      <c r="J103" s="585"/>
      <c r="K103" s="3"/>
      <c r="L103" s="3"/>
      <c r="M103" s="3"/>
    </row>
    <row r="104" spans="1:13" ht="15.75" customHeight="1" x14ac:dyDescent="0.2">
      <c r="A104" s="45" t="s">
        <v>281</v>
      </c>
      <c r="B104" s="603"/>
      <c r="C104" s="46"/>
      <c r="D104" s="47"/>
      <c r="E104" s="47"/>
      <c r="F104" s="47"/>
      <c r="G104" s="621"/>
      <c r="H104" s="585"/>
      <c r="I104" s="4"/>
      <c r="J104" s="48"/>
      <c r="K104" s="49" t="s">
        <v>282</v>
      </c>
      <c r="L104" s="47"/>
      <c r="M104" s="3"/>
    </row>
    <row r="105" spans="1:13" ht="15.75" customHeight="1" x14ac:dyDescent="0.2">
      <c r="A105" s="45" t="s">
        <v>284</v>
      </c>
      <c r="B105" s="625" t="s">
        <v>327</v>
      </c>
      <c r="C105" s="4"/>
      <c r="D105" s="3"/>
      <c r="E105" s="623" t="s">
        <v>328</v>
      </c>
      <c r="F105" s="590"/>
      <c r="G105" s="623" t="s">
        <v>329</v>
      </c>
      <c r="H105" s="590"/>
      <c r="I105" s="625" t="s">
        <v>330</v>
      </c>
      <c r="J105" s="636" t="s">
        <v>331</v>
      </c>
      <c r="K105" s="625" t="s">
        <v>332</v>
      </c>
      <c r="L105" s="625" t="s">
        <v>333</v>
      </c>
      <c r="M105" s="631" t="s">
        <v>334</v>
      </c>
    </row>
    <row r="106" spans="1:13" ht="15" customHeight="1" x14ac:dyDescent="0.2">
      <c r="A106" s="45" t="s">
        <v>285</v>
      </c>
      <c r="B106" s="602"/>
      <c r="C106" s="4"/>
      <c r="D106" s="3"/>
      <c r="E106" s="591"/>
      <c r="F106" s="592"/>
      <c r="G106" s="591"/>
      <c r="H106" s="592"/>
      <c r="I106" s="602"/>
      <c r="J106" s="602"/>
      <c r="K106" s="602"/>
      <c r="L106" s="602"/>
      <c r="M106" s="602"/>
    </row>
    <row r="107" spans="1:13" ht="15.75" customHeight="1" x14ac:dyDescent="0.2">
      <c r="A107" s="45" t="s">
        <v>286</v>
      </c>
      <c r="B107" s="602"/>
      <c r="C107" s="4"/>
      <c r="D107" s="3"/>
      <c r="E107" s="591"/>
      <c r="F107" s="592"/>
      <c r="G107" s="591"/>
      <c r="H107" s="592"/>
      <c r="I107" s="602"/>
      <c r="J107" s="602"/>
      <c r="K107" s="602"/>
      <c r="L107" s="602"/>
      <c r="M107" s="602"/>
    </row>
    <row r="108" spans="1:13" ht="15.75" customHeight="1" x14ac:dyDescent="0.2">
      <c r="A108" s="45" t="s">
        <v>287</v>
      </c>
      <c r="B108" s="602"/>
      <c r="C108" s="4"/>
      <c r="D108" s="3"/>
      <c r="E108" s="591"/>
      <c r="F108" s="592"/>
      <c r="G108" s="593"/>
      <c r="H108" s="594"/>
      <c r="I108" s="603"/>
      <c r="J108" s="603"/>
      <c r="K108" s="603"/>
      <c r="L108" s="602"/>
      <c r="M108" s="603"/>
    </row>
    <row r="109" spans="1:13" ht="15.75" customHeight="1" x14ac:dyDescent="0.2">
      <c r="A109" s="45" t="s">
        <v>288</v>
      </c>
      <c r="B109" s="603"/>
      <c r="C109" s="4"/>
      <c r="D109" s="3"/>
      <c r="E109" s="593"/>
      <c r="F109" s="594"/>
      <c r="G109" s="3"/>
      <c r="H109" s="625" t="s">
        <v>335</v>
      </c>
      <c r="I109" s="635" t="s">
        <v>336</v>
      </c>
      <c r="J109" s="590"/>
      <c r="K109" s="625" t="s">
        <v>337</v>
      </c>
      <c r="L109" s="603"/>
      <c r="M109" s="3"/>
    </row>
    <row r="110" spans="1:13" ht="15" customHeight="1" x14ac:dyDescent="0.2">
      <c r="A110" s="45" t="s">
        <v>289</v>
      </c>
      <c r="B110" s="623" t="s">
        <v>338</v>
      </c>
      <c r="C110" s="590"/>
      <c r="D110" s="47"/>
      <c r="E110" s="3"/>
      <c r="F110" s="624" t="s">
        <v>339</v>
      </c>
      <c r="G110" s="625" t="s">
        <v>340</v>
      </c>
      <c r="H110" s="602"/>
      <c r="I110" s="591"/>
      <c r="J110" s="592"/>
      <c r="K110" s="602"/>
      <c r="L110" s="3"/>
      <c r="M110" s="3"/>
    </row>
    <row r="111" spans="1:13" ht="15.75" customHeight="1" x14ac:dyDescent="0.2">
      <c r="A111" s="45" t="s">
        <v>290</v>
      </c>
      <c r="B111" s="591"/>
      <c r="C111" s="592"/>
      <c r="D111" s="47"/>
      <c r="E111" s="3"/>
      <c r="F111" s="602"/>
      <c r="G111" s="602"/>
      <c r="H111" s="602"/>
      <c r="I111" s="591"/>
      <c r="J111" s="592"/>
      <c r="K111" s="602"/>
      <c r="L111" s="3"/>
      <c r="M111" s="3"/>
    </row>
    <row r="112" spans="1:13" ht="15.75" customHeight="1" x14ac:dyDescent="0.2">
      <c r="A112" s="45" t="s">
        <v>291</v>
      </c>
      <c r="B112" s="591"/>
      <c r="C112" s="592"/>
      <c r="D112" s="47"/>
      <c r="E112" s="3"/>
      <c r="F112" s="602"/>
      <c r="G112" s="602"/>
      <c r="H112" s="603"/>
      <c r="I112" s="593"/>
      <c r="J112" s="594"/>
      <c r="K112" s="603"/>
      <c r="L112" s="3"/>
      <c r="M112" s="3"/>
    </row>
    <row r="113" spans="1:15" ht="15.75" customHeight="1" x14ac:dyDescent="0.2">
      <c r="A113" s="45" t="s">
        <v>292</v>
      </c>
      <c r="B113" s="593"/>
      <c r="C113" s="594"/>
      <c r="D113" s="47"/>
      <c r="E113" s="3"/>
      <c r="F113" s="603"/>
      <c r="G113" s="603"/>
      <c r="H113" s="50"/>
      <c r="I113" s="3"/>
      <c r="J113" s="3"/>
      <c r="K113" s="3"/>
      <c r="L113" s="3"/>
      <c r="M113" s="3"/>
    </row>
    <row r="114" spans="1:15" ht="15.75" customHeight="1" x14ac:dyDescent="0.2">
      <c r="A114" s="35"/>
      <c r="B114" s="1"/>
      <c r="C114" s="1"/>
      <c r="D114" s="1"/>
      <c r="E114" s="1"/>
      <c r="F114" s="51"/>
      <c r="G114" s="51"/>
      <c r="H114" s="51"/>
      <c r="I114" s="52"/>
      <c r="J114" s="52"/>
      <c r="K114" s="52"/>
      <c r="L114" s="52"/>
      <c r="M114" s="36"/>
    </row>
    <row r="115" spans="1:15" ht="15.75" customHeight="1" x14ac:dyDescent="0.2">
      <c r="A115" s="35"/>
      <c r="B115" s="1"/>
      <c r="C115" s="1"/>
      <c r="D115" s="1"/>
      <c r="E115" s="1"/>
      <c r="F115" s="51"/>
      <c r="G115" s="51"/>
      <c r="H115" s="51"/>
      <c r="I115" s="52"/>
      <c r="J115" s="52"/>
      <c r="K115" s="52"/>
      <c r="L115" s="52"/>
      <c r="M115" s="36"/>
    </row>
    <row r="116" spans="1:15" ht="15.75" customHeight="1" x14ac:dyDescent="0.2">
      <c r="A116" s="607" t="s">
        <v>341</v>
      </c>
      <c r="B116" s="608"/>
      <c r="C116" s="608"/>
      <c r="D116" s="608"/>
      <c r="E116" s="608"/>
      <c r="F116" s="608"/>
      <c r="G116" s="608"/>
      <c r="H116" s="608"/>
      <c r="I116" s="608"/>
      <c r="J116" s="608"/>
      <c r="K116" s="608"/>
      <c r="L116" s="608"/>
      <c r="M116" s="609"/>
    </row>
    <row r="117" spans="1:15" ht="15.75" customHeight="1" x14ac:dyDescent="0.2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</row>
    <row r="118" spans="1:15" ht="15.75" customHeight="1" x14ac:dyDescent="0.25">
      <c r="A118" s="26" t="s">
        <v>19</v>
      </c>
      <c r="B118" s="605" t="s">
        <v>32</v>
      </c>
      <c r="C118" s="585"/>
      <c r="D118" s="605" t="s">
        <v>25</v>
      </c>
      <c r="E118" s="587"/>
      <c r="F118" s="585"/>
      <c r="G118" s="605" t="s">
        <v>36</v>
      </c>
      <c r="H118" s="585"/>
      <c r="I118" s="605" t="s">
        <v>48</v>
      </c>
      <c r="J118" s="585"/>
      <c r="K118" s="25" t="s">
        <v>44</v>
      </c>
      <c r="L118" s="25"/>
      <c r="M118" s="25" t="s">
        <v>122</v>
      </c>
      <c r="O118" s="27" t="s">
        <v>48</v>
      </c>
    </row>
    <row r="119" spans="1:15" ht="15.75" customHeight="1" x14ac:dyDescent="0.2">
      <c r="A119" s="53" t="s">
        <v>276</v>
      </c>
      <c r="B119" s="584"/>
      <c r="C119" s="585"/>
      <c r="D119" s="586"/>
      <c r="E119" s="587"/>
      <c r="F119" s="585"/>
      <c r="G119" s="586"/>
      <c r="H119" s="585"/>
      <c r="I119" s="620"/>
      <c r="J119" s="585"/>
      <c r="K119" s="54"/>
      <c r="L119" s="55"/>
      <c r="M119" s="467"/>
      <c r="O119" s="9"/>
    </row>
    <row r="120" spans="1:15" ht="15.75" customHeight="1" x14ac:dyDescent="0.2">
      <c r="A120" s="28" t="s">
        <v>278</v>
      </c>
      <c r="B120" s="584"/>
      <c r="C120" s="585"/>
      <c r="D120" s="586"/>
      <c r="E120" s="587"/>
      <c r="F120" s="585"/>
      <c r="G120" s="586"/>
      <c r="H120" s="585"/>
      <c r="I120" s="620"/>
      <c r="J120" s="585"/>
      <c r="K120" s="56"/>
      <c r="L120" s="57"/>
      <c r="M120" s="602"/>
      <c r="O120" s="9"/>
    </row>
    <row r="121" spans="1:15" ht="15.75" customHeight="1" x14ac:dyDescent="0.2">
      <c r="A121" s="28" t="s">
        <v>279</v>
      </c>
      <c r="B121" s="584"/>
      <c r="C121" s="585"/>
      <c r="D121" s="586"/>
      <c r="E121" s="587"/>
      <c r="F121" s="585"/>
      <c r="G121" s="586"/>
      <c r="H121" s="585"/>
      <c r="I121" s="620"/>
      <c r="J121" s="585"/>
      <c r="K121" s="54"/>
      <c r="L121" s="57"/>
      <c r="M121" s="602"/>
      <c r="O121" s="9"/>
    </row>
    <row r="122" spans="1:15" ht="15.75" customHeight="1" x14ac:dyDescent="0.2">
      <c r="A122" s="28" t="s">
        <v>280</v>
      </c>
      <c r="B122" s="584"/>
      <c r="C122" s="585"/>
      <c r="D122" s="586"/>
      <c r="E122" s="587"/>
      <c r="F122" s="585"/>
      <c r="G122" s="586"/>
      <c r="H122" s="585"/>
      <c r="I122" s="620"/>
      <c r="J122" s="585"/>
      <c r="K122" s="54"/>
      <c r="L122" s="56"/>
      <c r="M122" s="603"/>
      <c r="O122" s="9"/>
    </row>
    <row r="123" spans="1:15" ht="15.75" customHeight="1" x14ac:dyDescent="0.2">
      <c r="A123" s="28" t="s">
        <v>281</v>
      </c>
      <c r="B123" s="584"/>
      <c r="C123" s="585"/>
      <c r="D123" s="586"/>
      <c r="E123" s="587"/>
      <c r="F123" s="585"/>
      <c r="G123" s="586"/>
      <c r="H123" s="585"/>
      <c r="I123" s="620"/>
      <c r="J123" s="585"/>
      <c r="K123" s="24" t="s">
        <v>282</v>
      </c>
      <c r="L123" s="24"/>
      <c r="M123" s="2"/>
      <c r="O123" s="10"/>
    </row>
    <row r="124" spans="1:15" ht="15.75" customHeight="1" x14ac:dyDescent="0.2">
      <c r="A124" s="28" t="s">
        <v>284</v>
      </c>
      <c r="B124" s="589" t="s">
        <v>342</v>
      </c>
      <c r="C124" s="590"/>
      <c r="D124" s="599" t="s">
        <v>343</v>
      </c>
      <c r="E124" s="595"/>
      <c r="F124" s="590"/>
      <c r="G124" s="58"/>
      <c r="H124" s="59"/>
      <c r="I124" s="620"/>
      <c r="J124" s="585"/>
      <c r="K124" s="60"/>
      <c r="L124" s="60"/>
      <c r="M124" s="54"/>
      <c r="O124" s="61"/>
    </row>
    <row r="125" spans="1:15" ht="15.75" customHeight="1" x14ac:dyDescent="0.2">
      <c r="A125" s="28" t="s">
        <v>285</v>
      </c>
      <c r="B125" s="591"/>
      <c r="C125" s="592"/>
      <c r="D125" s="591"/>
      <c r="E125" s="596"/>
      <c r="F125" s="592"/>
      <c r="G125" s="589" t="s">
        <v>344</v>
      </c>
      <c r="H125" s="590"/>
      <c r="I125" s="589" t="s">
        <v>345</v>
      </c>
      <c r="J125" s="617"/>
      <c r="K125" s="601" t="s">
        <v>346</v>
      </c>
      <c r="L125" s="62"/>
      <c r="M125" s="54"/>
      <c r="O125" s="63"/>
    </row>
    <row r="126" spans="1:15" ht="15.75" customHeight="1" x14ac:dyDescent="0.2">
      <c r="A126" s="28" t="s">
        <v>286</v>
      </c>
      <c r="B126" s="591"/>
      <c r="C126" s="592"/>
      <c r="D126" s="591"/>
      <c r="E126" s="596"/>
      <c r="F126" s="592"/>
      <c r="G126" s="591"/>
      <c r="H126" s="592"/>
      <c r="I126" s="591"/>
      <c r="J126" s="618"/>
      <c r="K126" s="602"/>
      <c r="L126" s="62"/>
      <c r="M126" s="54"/>
      <c r="O126" s="63"/>
    </row>
    <row r="127" spans="1:15" ht="15.75" customHeight="1" x14ac:dyDescent="0.2">
      <c r="A127" s="28" t="s">
        <v>287</v>
      </c>
      <c r="B127" s="591"/>
      <c r="C127" s="592"/>
      <c r="D127" s="591"/>
      <c r="E127" s="596"/>
      <c r="F127" s="592"/>
      <c r="G127" s="591"/>
      <c r="H127" s="592"/>
      <c r="I127" s="591"/>
      <c r="J127" s="618"/>
      <c r="K127" s="602"/>
      <c r="L127" s="62"/>
      <c r="M127" s="54"/>
      <c r="O127" s="63"/>
    </row>
    <row r="128" spans="1:15" ht="15.75" customHeight="1" x14ac:dyDescent="0.2">
      <c r="A128" s="28" t="s">
        <v>288</v>
      </c>
      <c r="B128" s="614"/>
      <c r="C128" s="615"/>
      <c r="D128" s="614"/>
      <c r="E128" s="616"/>
      <c r="F128" s="615"/>
      <c r="G128" s="593"/>
      <c r="H128" s="594"/>
      <c r="I128" s="614"/>
      <c r="J128" s="619"/>
      <c r="K128" s="603"/>
      <c r="L128" s="50"/>
      <c r="M128" s="54"/>
      <c r="O128" s="613" t="s">
        <v>199</v>
      </c>
    </row>
    <row r="129" spans="1:15" ht="15.75" customHeight="1" x14ac:dyDescent="0.2">
      <c r="A129" s="28" t="s">
        <v>289</v>
      </c>
      <c r="B129" s="599" t="s">
        <v>347</v>
      </c>
      <c r="C129" s="590"/>
      <c r="D129" s="589" t="s">
        <v>348</v>
      </c>
      <c r="E129" s="590"/>
      <c r="F129" s="64"/>
      <c r="L129" s="14"/>
      <c r="M129" s="54"/>
      <c r="O129" s="602"/>
    </row>
    <row r="130" spans="1:15" ht="15.75" customHeight="1" x14ac:dyDescent="0.2">
      <c r="A130" s="28" t="s">
        <v>290</v>
      </c>
      <c r="B130" s="591"/>
      <c r="C130" s="592"/>
      <c r="D130" s="591"/>
      <c r="E130" s="592"/>
      <c r="F130" s="65"/>
      <c r="L130" s="62"/>
      <c r="M130" s="66"/>
      <c r="O130" s="602"/>
    </row>
    <row r="131" spans="1:15" ht="15.75" customHeight="1" x14ac:dyDescent="0.2">
      <c r="A131" s="28" t="s">
        <v>291</v>
      </c>
      <c r="B131" s="591"/>
      <c r="C131" s="592"/>
      <c r="D131" s="591"/>
      <c r="E131" s="592"/>
      <c r="F131" s="65"/>
      <c r="L131" s="62"/>
      <c r="M131" s="66"/>
      <c r="O131" s="602"/>
    </row>
    <row r="132" spans="1:15" ht="15.75" customHeight="1" x14ac:dyDescent="0.2">
      <c r="A132" s="28" t="s">
        <v>292</v>
      </c>
      <c r="B132" s="593"/>
      <c r="C132" s="594"/>
      <c r="D132" s="593"/>
      <c r="E132" s="594"/>
      <c r="F132" s="67"/>
      <c r="L132" s="50"/>
      <c r="M132" s="66"/>
      <c r="O132" s="603"/>
    </row>
    <row r="133" spans="1:15" ht="15.75" customHeight="1" x14ac:dyDescent="0.2">
      <c r="A133" s="18"/>
      <c r="B133" s="18"/>
      <c r="C133" s="18"/>
      <c r="D133" s="18"/>
      <c r="E133" s="18"/>
      <c r="F133" s="17"/>
      <c r="G133" s="17"/>
      <c r="H133" s="17"/>
      <c r="I133" s="18"/>
      <c r="J133" s="18"/>
      <c r="K133" s="18"/>
      <c r="L133" s="18"/>
      <c r="M133" s="18"/>
    </row>
    <row r="134" spans="1:15" ht="15.75" customHeight="1" x14ac:dyDescent="0.2">
      <c r="A134" s="612" t="s">
        <v>349</v>
      </c>
      <c r="B134" s="596"/>
      <c r="C134" s="596"/>
      <c r="D134" s="596"/>
      <c r="E134" s="596"/>
      <c r="F134" s="596"/>
      <c r="G134" s="596"/>
      <c r="H134" s="596"/>
      <c r="I134" s="596"/>
      <c r="J134" s="596"/>
      <c r="K134" s="596"/>
      <c r="L134" s="596"/>
      <c r="M134" s="596"/>
    </row>
    <row r="135" spans="1:15" ht="15.75" customHeight="1" x14ac:dyDescent="0.2">
      <c r="A135" s="607" t="s">
        <v>350</v>
      </c>
      <c r="B135" s="608"/>
      <c r="C135" s="608"/>
      <c r="D135" s="608"/>
      <c r="E135" s="608"/>
      <c r="F135" s="608"/>
      <c r="G135" s="608"/>
      <c r="H135" s="608"/>
      <c r="I135" s="608"/>
      <c r="J135" s="608"/>
      <c r="K135" s="608"/>
      <c r="L135" s="608"/>
      <c r="M135" s="609"/>
    </row>
    <row r="136" spans="1:15" ht="15.75" customHeight="1" x14ac:dyDescent="0.2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</row>
    <row r="137" spans="1:15" ht="15.75" customHeight="1" x14ac:dyDescent="0.2">
      <c r="A137" s="25" t="s">
        <v>19</v>
      </c>
      <c r="B137" s="605" t="s">
        <v>32</v>
      </c>
      <c r="C137" s="585"/>
      <c r="D137" s="605" t="s">
        <v>25</v>
      </c>
      <c r="E137" s="587"/>
      <c r="F137" s="585"/>
      <c r="G137" s="605" t="s">
        <v>36</v>
      </c>
      <c r="H137" s="585"/>
      <c r="I137" s="605" t="s">
        <v>48</v>
      </c>
      <c r="J137" s="585"/>
      <c r="K137" s="606" t="s">
        <v>44</v>
      </c>
      <c r="L137" s="585"/>
      <c r="M137" s="68" t="s">
        <v>122</v>
      </c>
    </row>
    <row r="138" spans="1:15" ht="15" customHeight="1" x14ac:dyDescent="0.2">
      <c r="A138" s="53" t="s">
        <v>276</v>
      </c>
      <c r="B138" s="584"/>
      <c r="C138" s="585"/>
      <c r="D138" s="586"/>
      <c r="E138" s="587"/>
      <c r="F138" s="585"/>
      <c r="G138" s="610"/>
      <c r="H138" s="594"/>
      <c r="I138" s="588"/>
      <c r="J138" s="585"/>
      <c r="K138" s="69"/>
      <c r="L138" s="69"/>
      <c r="M138" s="599" t="s">
        <v>351</v>
      </c>
      <c r="N138" s="590"/>
    </row>
    <row r="139" spans="1:15" ht="15.75" customHeight="1" x14ac:dyDescent="0.2">
      <c r="A139" s="53" t="s">
        <v>278</v>
      </c>
      <c r="B139" s="584"/>
      <c r="C139" s="585"/>
      <c r="D139" s="586"/>
      <c r="E139" s="587"/>
      <c r="F139" s="585"/>
      <c r="G139" s="610"/>
      <c r="H139" s="594"/>
      <c r="I139" s="588"/>
      <c r="J139" s="585"/>
      <c r="K139" s="69"/>
      <c r="L139" s="69"/>
      <c r="M139" s="591"/>
      <c r="N139" s="592"/>
    </row>
    <row r="140" spans="1:15" ht="15.75" customHeight="1" x14ac:dyDescent="0.2">
      <c r="A140" s="53" t="s">
        <v>279</v>
      </c>
      <c r="B140" s="584"/>
      <c r="C140" s="585"/>
      <c r="D140" s="586"/>
      <c r="E140" s="587"/>
      <c r="F140" s="585"/>
      <c r="G140" s="610"/>
      <c r="H140" s="594"/>
      <c r="I140" s="588"/>
      <c r="J140" s="585"/>
      <c r="K140" s="69"/>
      <c r="L140" s="69"/>
      <c r="M140" s="591"/>
      <c r="N140" s="592"/>
    </row>
    <row r="141" spans="1:15" ht="15.75" customHeight="1" x14ac:dyDescent="0.2">
      <c r="A141" s="53" t="s">
        <v>280</v>
      </c>
      <c r="B141" s="584"/>
      <c r="C141" s="585"/>
      <c r="D141" s="586"/>
      <c r="E141" s="587"/>
      <c r="F141" s="585"/>
      <c r="G141" s="610"/>
      <c r="H141" s="594"/>
      <c r="I141" s="588"/>
      <c r="J141" s="585"/>
      <c r="K141" s="69"/>
      <c r="L141" s="69"/>
      <c r="M141" s="593"/>
      <c r="N141" s="594"/>
    </row>
    <row r="142" spans="1:15" ht="15.75" customHeight="1" x14ac:dyDescent="0.2">
      <c r="A142" s="53" t="s">
        <v>281</v>
      </c>
      <c r="B142" s="584"/>
      <c r="C142" s="585"/>
      <c r="D142" s="586"/>
      <c r="E142" s="587"/>
      <c r="F142" s="585"/>
      <c r="G142" s="610"/>
      <c r="H142" s="594"/>
      <c r="I142" s="588"/>
      <c r="J142" s="585"/>
      <c r="K142" s="70" t="s">
        <v>282</v>
      </c>
      <c r="L142" s="70"/>
      <c r="M142" s="71"/>
    </row>
    <row r="143" spans="1:15" ht="15.75" customHeight="1" x14ac:dyDescent="0.2">
      <c r="A143" s="53" t="s">
        <v>284</v>
      </c>
      <c r="B143" s="584"/>
      <c r="C143" s="585"/>
      <c r="D143" s="586"/>
      <c r="E143" s="587"/>
      <c r="F143" s="585"/>
      <c r="G143" s="610"/>
      <c r="H143" s="594"/>
      <c r="I143" s="588"/>
      <c r="J143" s="585"/>
      <c r="K143" s="69"/>
      <c r="L143" s="69"/>
      <c r="M143" s="38"/>
    </row>
    <row r="144" spans="1:15" ht="15" customHeight="1" x14ac:dyDescent="0.2">
      <c r="A144" s="53" t="s">
        <v>285</v>
      </c>
      <c r="D144" s="586"/>
      <c r="E144" s="587"/>
      <c r="F144" s="585"/>
      <c r="M144" s="599" t="s">
        <v>352</v>
      </c>
      <c r="N144" s="590"/>
    </row>
    <row r="145" spans="1:14" ht="15.75" customHeight="1" x14ac:dyDescent="0.2">
      <c r="A145" s="53" t="s">
        <v>286</v>
      </c>
      <c r="D145" s="586"/>
      <c r="E145" s="587"/>
      <c r="F145" s="585"/>
      <c r="G145" s="599" t="s">
        <v>353</v>
      </c>
      <c r="H145" s="590"/>
      <c r="M145" s="591"/>
      <c r="N145" s="592"/>
    </row>
    <row r="146" spans="1:14" ht="15.75" customHeight="1" x14ac:dyDescent="0.2">
      <c r="A146" s="53" t="s">
        <v>287</v>
      </c>
      <c r="D146" s="611"/>
      <c r="E146" s="587"/>
      <c r="F146" s="585"/>
      <c r="G146" s="591"/>
      <c r="H146" s="592"/>
      <c r="M146" s="591"/>
      <c r="N146" s="592"/>
    </row>
    <row r="147" spans="1:14" ht="15.75" customHeight="1" x14ac:dyDescent="0.2">
      <c r="A147" s="53" t="s">
        <v>288</v>
      </c>
      <c r="D147" s="584"/>
      <c r="E147" s="587"/>
      <c r="F147" s="585"/>
      <c r="G147" s="593"/>
      <c r="H147" s="594"/>
      <c r="M147" s="593"/>
      <c r="N147" s="594"/>
    </row>
    <row r="148" spans="1:14" ht="15" customHeight="1" x14ac:dyDescent="0.2">
      <c r="A148" s="53" t="s">
        <v>289</v>
      </c>
      <c r="B148" s="589" t="s">
        <v>354</v>
      </c>
      <c r="C148" s="590"/>
      <c r="D148" s="589" t="s">
        <v>355</v>
      </c>
      <c r="E148" s="595"/>
      <c r="F148" s="590"/>
      <c r="G148" s="589" t="s">
        <v>356</v>
      </c>
      <c r="H148" s="590"/>
      <c r="I148" s="589" t="s">
        <v>357</v>
      </c>
      <c r="J148" s="590"/>
      <c r="K148" s="599" t="s">
        <v>358</v>
      </c>
      <c r="L148" s="590"/>
      <c r="M148" s="599" t="s">
        <v>359</v>
      </c>
      <c r="N148" s="590"/>
    </row>
    <row r="149" spans="1:14" ht="15" customHeight="1" x14ac:dyDescent="0.2">
      <c r="A149" s="53" t="s">
        <v>290</v>
      </c>
      <c r="B149" s="591"/>
      <c r="C149" s="592"/>
      <c r="D149" s="591"/>
      <c r="E149" s="596"/>
      <c r="F149" s="592"/>
      <c r="G149" s="591"/>
      <c r="H149" s="592"/>
      <c r="I149" s="591"/>
      <c r="J149" s="592"/>
      <c r="K149" s="591"/>
      <c r="L149" s="592"/>
      <c r="M149" s="591"/>
      <c r="N149" s="592"/>
    </row>
    <row r="150" spans="1:14" ht="15.75" customHeight="1" x14ac:dyDescent="0.2">
      <c r="A150" s="53" t="s">
        <v>291</v>
      </c>
      <c r="B150" s="591"/>
      <c r="C150" s="592"/>
      <c r="D150" s="591"/>
      <c r="E150" s="596"/>
      <c r="F150" s="592"/>
      <c r="G150" s="591"/>
      <c r="H150" s="592"/>
      <c r="I150" s="591"/>
      <c r="J150" s="592"/>
      <c r="K150" s="591"/>
      <c r="L150" s="592"/>
      <c r="M150" s="593"/>
      <c r="N150" s="594"/>
    </row>
    <row r="151" spans="1:14" ht="15.75" customHeight="1" x14ac:dyDescent="0.2">
      <c r="A151" s="53" t="s">
        <v>292</v>
      </c>
      <c r="B151" s="593"/>
      <c r="C151" s="594"/>
      <c r="D151" s="593"/>
      <c r="E151" s="597"/>
      <c r="F151" s="594"/>
      <c r="G151" s="593"/>
      <c r="H151" s="594"/>
      <c r="I151" s="593"/>
      <c r="J151" s="594"/>
      <c r="K151" s="593"/>
      <c r="L151" s="594"/>
      <c r="M151" s="72"/>
    </row>
    <row r="152" spans="1:14" ht="15.75" customHeight="1" x14ac:dyDescent="0.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</row>
    <row r="153" spans="1:14" ht="15.75" customHeight="1" x14ac:dyDescent="0.2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</row>
    <row r="154" spans="1:14" ht="15.75" customHeight="1" x14ac:dyDescent="0.2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</row>
    <row r="155" spans="1:14" ht="15.75" customHeight="1" x14ac:dyDescent="0.2">
      <c r="A155" s="607" t="s">
        <v>360</v>
      </c>
      <c r="B155" s="608"/>
      <c r="C155" s="608"/>
      <c r="D155" s="608"/>
      <c r="E155" s="608"/>
      <c r="F155" s="608"/>
      <c r="G155" s="608"/>
      <c r="H155" s="608"/>
      <c r="I155" s="608"/>
      <c r="J155" s="608"/>
      <c r="K155" s="608"/>
      <c r="L155" s="608"/>
      <c r="M155" s="609"/>
    </row>
    <row r="156" spans="1:14" ht="15.75" customHeight="1" x14ac:dyDescent="0.2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</row>
    <row r="157" spans="1:14" ht="15.75" customHeight="1" x14ac:dyDescent="0.2">
      <c r="A157" s="25" t="s">
        <v>19</v>
      </c>
      <c r="B157" s="605" t="s">
        <v>32</v>
      </c>
      <c r="C157" s="585"/>
      <c r="D157" s="605" t="s">
        <v>25</v>
      </c>
      <c r="E157" s="587"/>
      <c r="F157" s="585"/>
      <c r="G157" s="605" t="s">
        <v>36</v>
      </c>
      <c r="H157" s="585"/>
      <c r="I157" s="605" t="s">
        <v>48</v>
      </c>
      <c r="J157" s="585"/>
      <c r="K157" s="606" t="s">
        <v>44</v>
      </c>
      <c r="L157" s="585"/>
      <c r="M157" s="73" t="s">
        <v>122</v>
      </c>
    </row>
    <row r="158" spans="1:14" ht="15.75" customHeight="1" x14ac:dyDescent="0.2">
      <c r="A158" s="28" t="s">
        <v>276</v>
      </c>
      <c r="B158" s="584"/>
      <c r="C158" s="585"/>
      <c r="D158" s="586"/>
      <c r="E158" s="587"/>
      <c r="F158" s="585"/>
      <c r="G158" s="586"/>
      <c r="H158" s="585"/>
      <c r="I158" s="588"/>
      <c r="J158" s="585"/>
      <c r="K158" s="600"/>
      <c r="L158" s="590"/>
      <c r="M158" s="601" t="s">
        <v>361</v>
      </c>
    </row>
    <row r="159" spans="1:14" ht="15.75" customHeight="1" x14ac:dyDescent="0.2">
      <c r="A159" s="28" t="s">
        <v>278</v>
      </c>
      <c r="B159" s="584"/>
      <c r="C159" s="585"/>
      <c r="D159" s="586"/>
      <c r="E159" s="587"/>
      <c r="F159" s="585"/>
      <c r="G159" s="586"/>
      <c r="H159" s="585"/>
      <c r="I159" s="588"/>
      <c r="J159" s="585"/>
      <c r="K159" s="600"/>
      <c r="L159" s="590"/>
      <c r="M159" s="602"/>
    </row>
    <row r="160" spans="1:14" ht="15.75" customHeight="1" x14ac:dyDescent="0.2">
      <c r="A160" s="28" t="s">
        <v>279</v>
      </c>
      <c r="B160" s="584"/>
      <c r="C160" s="585"/>
      <c r="D160" s="586"/>
      <c r="E160" s="587"/>
      <c r="F160" s="585"/>
      <c r="G160" s="586"/>
      <c r="H160" s="585"/>
      <c r="I160" s="588"/>
      <c r="J160" s="585"/>
      <c r="K160" s="600"/>
      <c r="L160" s="590"/>
      <c r="M160" s="602"/>
    </row>
    <row r="161" spans="1:13" ht="15.75" customHeight="1" x14ac:dyDescent="0.2">
      <c r="A161" s="28" t="s">
        <v>280</v>
      </c>
      <c r="B161" s="584"/>
      <c r="C161" s="585"/>
      <c r="D161" s="586"/>
      <c r="E161" s="587"/>
      <c r="F161" s="585"/>
      <c r="G161" s="586"/>
      <c r="H161" s="585"/>
      <c r="I161" s="588"/>
      <c r="J161" s="585"/>
      <c r="K161" s="600"/>
      <c r="L161" s="590"/>
      <c r="M161" s="602"/>
    </row>
    <row r="162" spans="1:13" ht="15.75" customHeight="1" x14ac:dyDescent="0.2">
      <c r="A162" s="28" t="s">
        <v>281</v>
      </c>
      <c r="B162" s="584"/>
      <c r="C162" s="585"/>
      <c r="D162" s="586"/>
      <c r="E162" s="587"/>
      <c r="F162" s="585"/>
      <c r="G162" s="586"/>
      <c r="H162" s="585"/>
      <c r="I162" s="588"/>
      <c r="J162" s="585"/>
      <c r="K162" s="637" t="s">
        <v>282</v>
      </c>
      <c r="L162" s="638"/>
      <c r="M162" s="603"/>
    </row>
    <row r="163" spans="1:13" ht="15.75" customHeight="1" x14ac:dyDescent="0.2">
      <c r="A163" s="28" t="s">
        <v>284</v>
      </c>
      <c r="B163" s="584"/>
      <c r="C163" s="585"/>
      <c r="D163" s="586"/>
      <c r="E163" s="587"/>
      <c r="F163" s="585"/>
      <c r="G163" s="639"/>
      <c r="H163" s="640"/>
      <c r="I163" s="74"/>
      <c r="J163" s="75"/>
      <c r="K163" s="604"/>
      <c r="L163" s="585"/>
      <c r="M163" s="38"/>
    </row>
    <row r="164" spans="1:13" ht="15.75" customHeight="1" x14ac:dyDescent="0.2">
      <c r="A164" s="28" t="s">
        <v>285</v>
      </c>
      <c r="B164" s="584"/>
      <c r="C164" s="585"/>
      <c r="D164" s="589" t="s">
        <v>362</v>
      </c>
      <c r="E164" s="590"/>
      <c r="K164" s="604"/>
      <c r="L164" s="585"/>
      <c r="M164" s="601" t="s">
        <v>363</v>
      </c>
    </row>
    <row r="165" spans="1:13" ht="15.75" customHeight="1" x14ac:dyDescent="0.2">
      <c r="A165" s="28" t="s">
        <v>286</v>
      </c>
      <c r="B165" s="584"/>
      <c r="C165" s="585"/>
      <c r="D165" s="591"/>
      <c r="E165" s="592"/>
      <c r="K165" s="604"/>
      <c r="L165" s="585"/>
      <c r="M165" s="602"/>
    </row>
    <row r="166" spans="1:13" ht="15.75" customHeight="1" x14ac:dyDescent="0.2">
      <c r="A166" s="28" t="s">
        <v>287</v>
      </c>
      <c r="B166" s="584"/>
      <c r="C166" s="585"/>
      <c r="D166" s="591"/>
      <c r="E166" s="592"/>
      <c r="K166" s="604"/>
      <c r="L166" s="585"/>
      <c r="M166" s="602"/>
    </row>
    <row r="167" spans="1:13" ht="15.75" customHeight="1" x14ac:dyDescent="0.2">
      <c r="A167" s="28" t="s">
        <v>288</v>
      </c>
      <c r="B167" s="584"/>
      <c r="C167" s="585"/>
      <c r="D167" s="593"/>
      <c r="E167" s="594"/>
      <c r="K167" s="604"/>
      <c r="L167" s="585"/>
      <c r="M167" s="603"/>
    </row>
    <row r="168" spans="1:13" ht="15.75" customHeight="1" x14ac:dyDescent="0.2">
      <c r="A168" s="28" t="s">
        <v>289</v>
      </c>
      <c r="B168" s="589" t="s">
        <v>364</v>
      </c>
      <c r="C168" s="590"/>
      <c r="D168" s="589" t="s">
        <v>365</v>
      </c>
      <c r="E168" s="595"/>
      <c r="F168" s="590"/>
      <c r="G168" s="589" t="s">
        <v>366</v>
      </c>
      <c r="H168" s="590"/>
      <c r="I168" s="589" t="s">
        <v>367</v>
      </c>
      <c r="J168" s="590"/>
      <c r="K168" s="599" t="s">
        <v>368</v>
      </c>
      <c r="L168" s="590"/>
      <c r="M168" s="76"/>
    </row>
    <row r="169" spans="1:13" ht="16.5" customHeight="1" x14ac:dyDescent="0.2">
      <c r="A169" s="28" t="s">
        <v>290</v>
      </c>
      <c r="B169" s="591"/>
      <c r="C169" s="592"/>
      <c r="D169" s="591"/>
      <c r="E169" s="596"/>
      <c r="F169" s="592"/>
      <c r="G169" s="591"/>
      <c r="H169" s="592"/>
      <c r="I169" s="591"/>
      <c r="J169" s="592"/>
      <c r="K169" s="591"/>
      <c r="L169" s="592"/>
      <c r="M169" s="29"/>
    </row>
    <row r="170" spans="1:13" ht="18.75" customHeight="1" x14ac:dyDescent="0.2">
      <c r="A170" s="28" t="s">
        <v>291</v>
      </c>
      <c r="B170" s="591"/>
      <c r="C170" s="592"/>
      <c r="D170" s="591"/>
      <c r="E170" s="596"/>
      <c r="F170" s="592"/>
      <c r="G170" s="593"/>
      <c r="H170" s="594"/>
      <c r="I170" s="591"/>
      <c r="J170" s="592"/>
      <c r="K170" s="591"/>
      <c r="L170" s="592"/>
      <c r="M170" s="29"/>
    </row>
    <row r="171" spans="1:13" ht="19.5" customHeight="1" x14ac:dyDescent="0.2">
      <c r="A171" s="28" t="s">
        <v>292</v>
      </c>
      <c r="B171" s="593"/>
      <c r="C171" s="594"/>
      <c r="D171" s="593"/>
      <c r="E171" s="597"/>
      <c r="F171" s="594"/>
      <c r="G171" s="77"/>
      <c r="H171" s="78"/>
      <c r="I171" s="593"/>
      <c r="J171" s="594"/>
      <c r="K171" s="593"/>
      <c r="L171" s="594"/>
      <c r="M171" s="29"/>
    </row>
    <row r="172" spans="1:13" ht="15.75" customHeight="1" x14ac:dyDescent="0.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</row>
    <row r="173" spans="1:13" ht="15.75" customHeight="1" x14ac:dyDescent="0.2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5.75" customHeight="1" x14ac:dyDescent="0.2">
      <c r="A174" s="607" t="s">
        <v>369</v>
      </c>
      <c r="B174" s="608"/>
      <c r="C174" s="608"/>
      <c r="D174" s="608"/>
      <c r="E174" s="608"/>
      <c r="F174" s="608"/>
      <c r="G174" s="608"/>
      <c r="H174" s="608"/>
      <c r="I174" s="608"/>
      <c r="J174" s="608"/>
      <c r="K174" s="608"/>
      <c r="L174" s="608"/>
      <c r="M174" s="609"/>
    </row>
    <row r="175" spans="1:13" ht="15.75" customHeight="1" x14ac:dyDescent="0.2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</row>
    <row r="176" spans="1:13" ht="15.75" customHeight="1" x14ac:dyDescent="0.2">
      <c r="A176" s="25" t="s">
        <v>19</v>
      </c>
      <c r="B176" s="605" t="s">
        <v>32</v>
      </c>
      <c r="C176" s="585"/>
      <c r="D176" s="605" t="s">
        <v>25</v>
      </c>
      <c r="E176" s="587"/>
      <c r="F176" s="585"/>
      <c r="G176" s="605" t="s">
        <v>36</v>
      </c>
      <c r="H176" s="585"/>
      <c r="I176" s="605" t="s">
        <v>48</v>
      </c>
      <c r="J176" s="585"/>
      <c r="K176" s="606" t="s">
        <v>44</v>
      </c>
      <c r="L176" s="587"/>
      <c r="M176" s="73" t="s">
        <v>122</v>
      </c>
    </row>
    <row r="177" spans="1:14" ht="15.75" customHeight="1" x14ac:dyDescent="0.2">
      <c r="A177" s="28" t="s">
        <v>276</v>
      </c>
      <c r="B177" s="584"/>
      <c r="C177" s="585"/>
      <c r="D177" s="586"/>
      <c r="E177" s="587"/>
      <c r="F177" s="585"/>
      <c r="G177" s="588"/>
      <c r="H177" s="585"/>
      <c r="I177" s="588"/>
      <c r="J177" s="585"/>
      <c r="K177" s="600"/>
      <c r="L177" s="590"/>
      <c r="M177" s="601" t="s">
        <v>370</v>
      </c>
    </row>
    <row r="178" spans="1:14" ht="15.75" customHeight="1" x14ac:dyDescent="0.2">
      <c r="A178" s="28" t="s">
        <v>278</v>
      </c>
      <c r="B178" s="584"/>
      <c r="C178" s="585"/>
      <c r="D178" s="586"/>
      <c r="E178" s="587"/>
      <c r="F178" s="585"/>
      <c r="G178" s="588"/>
      <c r="H178" s="585"/>
      <c r="I178" s="588"/>
      <c r="J178" s="585"/>
      <c r="K178" s="600"/>
      <c r="L178" s="590"/>
      <c r="M178" s="602"/>
    </row>
    <row r="179" spans="1:14" ht="15.75" customHeight="1" x14ac:dyDescent="0.2">
      <c r="A179" s="28" t="s">
        <v>279</v>
      </c>
      <c r="B179" s="584"/>
      <c r="C179" s="585"/>
      <c r="D179" s="586"/>
      <c r="E179" s="587"/>
      <c r="F179" s="585"/>
      <c r="G179" s="588"/>
      <c r="H179" s="585"/>
      <c r="I179" s="588"/>
      <c r="J179" s="585"/>
      <c r="K179" s="600"/>
      <c r="L179" s="590"/>
      <c r="M179" s="602"/>
    </row>
    <row r="180" spans="1:14" ht="15.75" customHeight="1" x14ac:dyDescent="0.2">
      <c r="A180" s="28" t="s">
        <v>280</v>
      </c>
      <c r="B180" s="584"/>
      <c r="C180" s="585"/>
      <c r="D180" s="586"/>
      <c r="E180" s="587"/>
      <c r="F180" s="585"/>
      <c r="G180" s="588"/>
      <c r="H180" s="585"/>
      <c r="I180" s="588"/>
      <c r="J180" s="585"/>
      <c r="K180" s="600"/>
      <c r="L180" s="590"/>
      <c r="M180" s="602"/>
    </row>
    <row r="181" spans="1:14" ht="15.75" customHeight="1" x14ac:dyDescent="0.2">
      <c r="A181" s="28" t="s">
        <v>281</v>
      </c>
      <c r="B181" s="584"/>
      <c r="C181" s="585"/>
      <c r="D181" s="586"/>
      <c r="E181" s="587"/>
      <c r="F181" s="585"/>
      <c r="G181" s="588"/>
      <c r="H181" s="585"/>
      <c r="I181" s="588"/>
      <c r="J181" s="585"/>
      <c r="K181" s="641" t="s">
        <v>282</v>
      </c>
      <c r="L181" s="642"/>
      <c r="M181" s="602"/>
    </row>
    <row r="182" spans="1:14" ht="15.75" customHeight="1" x14ac:dyDescent="0.2">
      <c r="A182" s="28" t="s">
        <v>284</v>
      </c>
      <c r="B182" s="584"/>
      <c r="C182" s="585"/>
      <c r="D182" s="586"/>
      <c r="E182" s="587"/>
      <c r="F182" s="585"/>
      <c r="G182" s="588"/>
      <c r="H182" s="585"/>
      <c r="I182" s="588"/>
      <c r="J182" s="585"/>
      <c r="K182" s="598"/>
      <c r="L182" s="594"/>
      <c r="M182" s="603"/>
    </row>
    <row r="183" spans="1:14" ht="15.75" customHeight="1" x14ac:dyDescent="0.2">
      <c r="A183" s="28" t="s">
        <v>285</v>
      </c>
      <c r="B183" s="584"/>
      <c r="C183" s="585"/>
      <c r="D183" s="586"/>
      <c r="E183" s="587"/>
      <c r="F183" s="585"/>
      <c r="G183" s="588"/>
      <c r="H183" s="585"/>
      <c r="I183" s="588"/>
      <c r="J183" s="585"/>
      <c r="K183" s="598"/>
      <c r="L183" s="594"/>
      <c r="M183" s="589" t="s">
        <v>371</v>
      </c>
      <c r="N183" s="590"/>
    </row>
    <row r="184" spans="1:14" ht="15.75" customHeight="1" x14ac:dyDescent="0.2">
      <c r="A184" s="28" t="s">
        <v>286</v>
      </c>
      <c r="B184" s="584"/>
      <c r="C184" s="585"/>
      <c r="D184" s="586"/>
      <c r="E184" s="587"/>
      <c r="F184" s="585"/>
      <c r="G184" s="588"/>
      <c r="H184" s="585"/>
      <c r="I184" s="588"/>
      <c r="J184" s="585"/>
      <c r="K184" s="598"/>
      <c r="L184" s="594"/>
      <c r="M184" s="591"/>
      <c r="N184" s="592"/>
    </row>
    <row r="185" spans="1:14" ht="15.75" customHeight="1" x14ac:dyDescent="0.2">
      <c r="A185" s="28" t="s">
        <v>287</v>
      </c>
      <c r="B185" s="584"/>
      <c r="C185" s="585"/>
      <c r="D185" s="586"/>
      <c r="E185" s="587"/>
      <c r="F185" s="585"/>
      <c r="G185" s="588"/>
      <c r="H185" s="585"/>
      <c r="I185" s="588"/>
      <c r="J185" s="585"/>
      <c r="K185" s="598"/>
      <c r="L185" s="594"/>
      <c r="M185" s="593"/>
      <c r="N185" s="594"/>
    </row>
    <row r="186" spans="1:14" ht="15.75" customHeight="1" x14ac:dyDescent="0.2">
      <c r="A186" s="28" t="s">
        <v>288</v>
      </c>
      <c r="B186" s="584"/>
      <c r="C186" s="585"/>
      <c r="D186" s="586"/>
      <c r="E186" s="587"/>
      <c r="F186" s="585"/>
      <c r="G186" s="588"/>
      <c r="H186" s="585"/>
      <c r="I186" s="589" t="s">
        <v>372</v>
      </c>
      <c r="J186" s="590"/>
      <c r="K186" s="598"/>
      <c r="L186" s="594"/>
      <c r="M186" s="3"/>
    </row>
    <row r="187" spans="1:14" ht="15.75" customHeight="1" x14ac:dyDescent="0.2">
      <c r="A187" s="28" t="s">
        <v>289</v>
      </c>
      <c r="B187" s="589" t="s">
        <v>373</v>
      </c>
      <c r="C187" s="590"/>
      <c r="D187" s="589" t="s">
        <v>374</v>
      </c>
      <c r="E187" s="595"/>
      <c r="F187" s="590"/>
      <c r="G187" s="589" t="s">
        <v>375</v>
      </c>
      <c r="H187" s="590"/>
      <c r="I187" s="591"/>
      <c r="J187" s="592"/>
      <c r="K187" s="599" t="s">
        <v>376</v>
      </c>
      <c r="L187" s="590"/>
    </row>
    <row r="188" spans="1:14" ht="15.75" customHeight="1" x14ac:dyDescent="0.2">
      <c r="A188" s="28" t="s">
        <v>290</v>
      </c>
      <c r="B188" s="591"/>
      <c r="C188" s="592"/>
      <c r="D188" s="591"/>
      <c r="E188" s="596"/>
      <c r="F188" s="592"/>
      <c r="G188" s="591"/>
      <c r="H188" s="592"/>
      <c r="I188" s="591"/>
      <c r="J188" s="592"/>
      <c r="K188" s="591"/>
      <c r="L188" s="592"/>
    </row>
    <row r="189" spans="1:14" ht="42.75" customHeight="1" x14ac:dyDescent="0.2">
      <c r="A189" s="28" t="s">
        <v>291</v>
      </c>
      <c r="B189" s="591"/>
      <c r="C189" s="592"/>
      <c r="D189" s="591"/>
      <c r="E189" s="596"/>
      <c r="F189" s="592"/>
      <c r="G189" s="593"/>
      <c r="H189" s="594"/>
      <c r="I189" s="591"/>
      <c r="J189" s="592"/>
      <c r="K189" s="591"/>
      <c r="L189" s="592"/>
    </row>
    <row r="190" spans="1:14" ht="22.5" customHeight="1" x14ac:dyDescent="0.2">
      <c r="A190" s="28" t="s">
        <v>292</v>
      </c>
      <c r="B190" s="593"/>
      <c r="C190" s="594"/>
      <c r="D190" s="593"/>
      <c r="E190" s="597"/>
      <c r="F190" s="594"/>
      <c r="I190" s="593"/>
      <c r="J190" s="594"/>
      <c r="K190" s="593"/>
      <c r="L190" s="594"/>
      <c r="M190" s="29"/>
    </row>
    <row r="191" spans="1:14" ht="15.75" customHeight="1" x14ac:dyDescent="0.2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4" ht="15.75" customHeight="1" x14ac:dyDescent="0.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5.75" customHeight="1" x14ac:dyDescent="0.2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5.75" customHeight="1" x14ac:dyDescent="0.2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5.75" customHeight="1" x14ac:dyDescent="0.2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5.75" customHeight="1" x14ac:dyDescent="0.2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5.75" customHeight="1" x14ac:dyDescent="0.2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5.75" customHeight="1" x14ac:dyDescent="0.2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5.75" customHeight="1" x14ac:dyDescent="0.2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5.75" customHeight="1" x14ac:dyDescent="0.2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5.75" customHeight="1" x14ac:dyDescent="0.2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5.75" customHeight="1" x14ac:dyDescent="0.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5.75" customHeight="1" x14ac:dyDescent="0.2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5.75" customHeight="1" x14ac:dyDescent="0.2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5.75" customHeight="1" x14ac:dyDescent="0.2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5.75" customHeight="1" x14ac:dyDescent="0.2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5.75" customHeight="1" x14ac:dyDescent="0.2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5.75" customHeight="1" x14ac:dyDescent="0.2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5.75" customHeight="1" x14ac:dyDescent="0.2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5.75" customHeight="1" x14ac:dyDescent="0.2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5.75" customHeight="1" x14ac:dyDescent="0.2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5.75" customHeight="1" x14ac:dyDescent="0.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5.75" customHeight="1" x14ac:dyDescent="0.2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5.75" customHeight="1" x14ac:dyDescent="0.2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5.75" customHeight="1" x14ac:dyDescent="0.2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5.75" customHeight="1" x14ac:dyDescent="0.2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5.75" customHeight="1" x14ac:dyDescent="0.2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5.75" customHeight="1" x14ac:dyDescent="0.2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5.75" customHeight="1" x14ac:dyDescent="0.2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5.75" customHeight="1" x14ac:dyDescent="0.2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5.75" customHeight="1" x14ac:dyDescent="0.2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5.75" customHeight="1" x14ac:dyDescent="0.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5.75" customHeight="1" x14ac:dyDescent="0.2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5.75" customHeight="1" x14ac:dyDescent="0.2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5.75" customHeight="1" x14ac:dyDescent="0.2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5.75" customHeight="1" x14ac:dyDescent="0.2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5.75" customHeight="1" x14ac:dyDescent="0.2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5.75" customHeight="1" x14ac:dyDescent="0.2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5.75" customHeight="1" x14ac:dyDescent="0.2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5.75" customHeight="1" x14ac:dyDescent="0.2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5.75" customHeight="1" x14ac:dyDescent="0.2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5.75" customHeight="1" x14ac:dyDescent="0.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5.75" customHeight="1" x14ac:dyDescent="0.2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5.75" customHeight="1" x14ac:dyDescent="0.2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5.75" customHeight="1" x14ac:dyDescent="0.2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5.75" customHeight="1" x14ac:dyDescent="0.2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5.75" customHeight="1" x14ac:dyDescent="0.2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5.75" customHeight="1" x14ac:dyDescent="0.2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5.75" customHeight="1" x14ac:dyDescent="0.2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5.75" customHeight="1" x14ac:dyDescent="0.2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5.75" customHeight="1" x14ac:dyDescent="0.2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5.75" customHeight="1" x14ac:dyDescent="0.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5.75" customHeight="1" x14ac:dyDescent="0.2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5.75" customHeight="1" x14ac:dyDescent="0.2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5.75" customHeight="1" x14ac:dyDescent="0.2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5.75" customHeight="1" x14ac:dyDescent="0.2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5.75" customHeight="1" x14ac:dyDescent="0.2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5.75" customHeight="1" x14ac:dyDescent="0.2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5.75" customHeight="1" x14ac:dyDescent="0.2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5.75" customHeight="1" x14ac:dyDescent="0.2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5.75" customHeight="1" x14ac:dyDescent="0.2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5.75" customHeight="1" x14ac:dyDescent="0.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5.75" customHeight="1" x14ac:dyDescent="0.2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5.75" customHeight="1" x14ac:dyDescent="0.2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5.75" customHeight="1" x14ac:dyDescent="0.2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5.75" customHeight="1" x14ac:dyDescent="0.2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5.75" customHeight="1" x14ac:dyDescent="0.2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5.75" customHeight="1" x14ac:dyDescent="0.2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5.75" customHeight="1" x14ac:dyDescent="0.2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5.75" customHeight="1" x14ac:dyDescent="0.2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5.75" customHeight="1" x14ac:dyDescent="0.2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5.75" customHeight="1" x14ac:dyDescent="0.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5.75" customHeight="1" x14ac:dyDescent="0.2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5.75" customHeight="1" x14ac:dyDescent="0.2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5.75" customHeight="1" x14ac:dyDescent="0.2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5.75" customHeight="1" x14ac:dyDescent="0.2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5.75" customHeight="1" x14ac:dyDescent="0.2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5.75" customHeight="1" x14ac:dyDescent="0.2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5.75" customHeight="1" x14ac:dyDescent="0.2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5.75" customHeight="1" x14ac:dyDescent="0.2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5.75" customHeight="1" x14ac:dyDescent="0.2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5.75" customHeight="1" x14ac:dyDescent="0.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5.75" customHeight="1" x14ac:dyDescent="0.2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5.75" customHeight="1" x14ac:dyDescent="0.2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5.75" customHeight="1" x14ac:dyDescent="0.2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5.75" customHeight="1" x14ac:dyDescent="0.2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5.75" customHeight="1" x14ac:dyDescent="0.2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5.75" customHeight="1" x14ac:dyDescent="0.2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5.75" customHeight="1" x14ac:dyDescent="0.2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5.75" customHeight="1" x14ac:dyDescent="0.2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5.75" customHeight="1" x14ac:dyDescent="0.2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5.75" customHeight="1" x14ac:dyDescent="0.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5.75" customHeight="1" x14ac:dyDescent="0.2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5.75" customHeight="1" x14ac:dyDescent="0.2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5.75" customHeight="1" x14ac:dyDescent="0.2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5.75" customHeight="1" x14ac:dyDescent="0.2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5.75" customHeight="1" x14ac:dyDescent="0.2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5.75" customHeight="1" x14ac:dyDescent="0.2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5.75" customHeight="1" x14ac:dyDescent="0.2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5.75" customHeight="1" x14ac:dyDescent="0.2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5.75" customHeight="1" x14ac:dyDescent="0.2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5.75" customHeight="1" x14ac:dyDescent="0.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5.75" customHeight="1" x14ac:dyDescent="0.2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5.75" customHeight="1" x14ac:dyDescent="0.2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5.75" customHeight="1" x14ac:dyDescent="0.2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5.75" customHeight="1" x14ac:dyDescent="0.2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5.75" customHeight="1" x14ac:dyDescent="0.2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5.75" customHeight="1" x14ac:dyDescent="0.2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5.75" customHeight="1" x14ac:dyDescent="0.2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5.75" customHeight="1" x14ac:dyDescent="0.2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5.75" customHeight="1" x14ac:dyDescent="0.2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5.75" customHeight="1" x14ac:dyDescent="0.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5.75" customHeight="1" x14ac:dyDescent="0.2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5.75" customHeight="1" x14ac:dyDescent="0.2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5.75" customHeight="1" x14ac:dyDescent="0.2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5.75" customHeight="1" x14ac:dyDescent="0.2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5.75" customHeight="1" x14ac:dyDescent="0.2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5.75" customHeight="1" x14ac:dyDescent="0.2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5.75" customHeight="1" x14ac:dyDescent="0.2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5.75" customHeight="1" x14ac:dyDescent="0.2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5.75" customHeight="1" x14ac:dyDescent="0.2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5.75" customHeight="1" x14ac:dyDescent="0.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5.75" customHeight="1" x14ac:dyDescent="0.2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5.75" customHeight="1" x14ac:dyDescent="0.2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5.75" customHeight="1" x14ac:dyDescent="0.2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5.75" customHeight="1" x14ac:dyDescent="0.2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5.75" customHeight="1" x14ac:dyDescent="0.2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5.75" customHeight="1" x14ac:dyDescent="0.2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5.75" customHeight="1" x14ac:dyDescent="0.2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5.75" customHeight="1" x14ac:dyDescent="0.2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5.75" customHeight="1" x14ac:dyDescent="0.2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5.75" customHeight="1" x14ac:dyDescent="0.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5.75" customHeight="1" x14ac:dyDescent="0.2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5.75" customHeight="1" x14ac:dyDescent="0.2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5.75" customHeight="1" x14ac:dyDescent="0.2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5.75" customHeight="1" x14ac:dyDescent="0.2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5.75" customHeight="1" x14ac:dyDescent="0.2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5.75" customHeight="1" x14ac:dyDescent="0.2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5.75" customHeight="1" x14ac:dyDescent="0.2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5.75" customHeight="1" x14ac:dyDescent="0.2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5.75" customHeight="1" x14ac:dyDescent="0.2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5.75" customHeight="1" x14ac:dyDescent="0.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5.75" customHeight="1" x14ac:dyDescent="0.2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5.75" customHeight="1" x14ac:dyDescent="0.2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5.75" customHeight="1" x14ac:dyDescent="0.2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5.75" customHeight="1" x14ac:dyDescent="0.2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5.75" customHeight="1" x14ac:dyDescent="0.2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5.75" customHeight="1" x14ac:dyDescent="0.2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5.75" customHeight="1" x14ac:dyDescent="0.2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5.75" customHeight="1" x14ac:dyDescent="0.2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5.75" customHeight="1" x14ac:dyDescent="0.2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5.75" customHeight="1" x14ac:dyDescent="0.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5.75" customHeight="1" x14ac:dyDescent="0.2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5.75" customHeight="1" x14ac:dyDescent="0.2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5.75" customHeight="1" x14ac:dyDescent="0.2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5.75" customHeight="1" x14ac:dyDescent="0.2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5.75" customHeight="1" x14ac:dyDescent="0.2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5.75" customHeight="1" x14ac:dyDescent="0.2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5.75" customHeight="1" x14ac:dyDescent="0.2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5.75" customHeight="1" x14ac:dyDescent="0.2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5.75" customHeight="1" x14ac:dyDescent="0.2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5.75" customHeight="1" x14ac:dyDescent="0.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5.75" customHeight="1" x14ac:dyDescent="0.2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5.75" customHeight="1" x14ac:dyDescent="0.2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5.75" customHeight="1" x14ac:dyDescent="0.2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5.75" customHeight="1" x14ac:dyDescent="0.2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5.75" customHeight="1" x14ac:dyDescent="0.2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5.75" customHeight="1" x14ac:dyDescent="0.2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5.75" customHeight="1" x14ac:dyDescent="0.2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5.75" customHeight="1" x14ac:dyDescent="0.2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5.75" customHeight="1" x14ac:dyDescent="0.2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5.75" customHeight="1" x14ac:dyDescent="0.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5.75" customHeight="1" x14ac:dyDescent="0.2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5.75" customHeight="1" x14ac:dyDescent="0.2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5.75" customHeight="1" x14ac:dyDescent="0.2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5.75" customHeight="1" x14ac:dyDescent="0.2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5.75" customHeight="1" x14ac:dyDescent="0.2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5.75" customHeight="1" x14ac:dyDescent="0.2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5.75" customHeight="1" x14ac:dyDescent="0.2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5.75" customHeight="1" x14ac:dyDescent="0.2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5.75" customHeight="1" x14ac:dyDescent="0.2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5.75" customHeight="1" x14ac:dyDescent="0.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5.75" customHeight="1" x14ac:dyDescent="0.2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5.75" customHeight="1" x14ac:dyDescent="0.2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5.75" customHeight="1" x14ac:dyDescent="0.2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5.75" customHeight="1" x14ac:dyDescent="0.2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5.75" customHeight="1" x14ac:dyDescent="0.2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5.75" customHeight="1" x14ac:dyDescent="0.2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5.75" customHeight="1" x14ac:dyDescent="0.2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5.75" customHeight="1" x14ac:dyDescent="0.2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5.75" customHeight="1" x14ac:dyDescent="0.2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5.75" customHeight="1" x14ac:dyDescent="0.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5.75" customHeight="1" x14ac:dyDescent="0.2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5.75" customHeight="1" x14ac:dyDescent="0.2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5.75" customHeight="1" x14ac:dyDescent="0.2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5.75" customHeight="1" x14ac:dyDescent="0.2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5.75" customHeight="1" x14ac:dyDescent="0.2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5.75" customHeight="1" x14ac:dyDescent="0.2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5.75" customHeight="1" x14ac:dyDescent="0.2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5.75" customHeight="1" x14ac:dyDescent="0.2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5.75" customHeight="1" x14ac:dyDescent="0.2">
      <c r="E391" s="13"/>
      <c r="L391" s="13"/>
    </row>
    <row r="392" spans="1:13" ht="15.75" customHeight="1" x14ac:dyDescent="0.2">
      <c r="E392" s="13"/>
      <c r="L392" s="13"/>
    </row>
    <row r="393" spans="1:13" ht="15.75" customHeight="1" x14ac:dyDescent="0.2">
      <c r="E393" s="13"/>
      <c r="L393" s="13"/>
    </row>
    <row r="394" spans="1:13" ht="15.75" customHeight="1" x14ac:dyDescent="0.2">
      <c r="E394" s="13"/>
      <c r="L394" s="13"/>
    </row>
    <row r="395" spans="1:13" ht="15.75" customHeight="1" x14ac:dyDescent="0.2">
      <c r="E395" s="13"/>
      <c r="L395" s="13"/>
    </row>
    <row r="396" spans="1:13" ht="15.75" customHeight="1" x14ac:dyDescent="0.2">
      <c r="E396" s="13"/>
      <c r="L396" s="13"/>
    </row>
    <row r="397" spans="1:13" ht="15.75" customHeight="1" x14ac:dyDescent="0.2">
      <c r="E397" s="13"/>
      <c r="L397" s="13"/>
    </row>
    <row r="398" spans="1:13" ht="15.75" customHeight="1" x14ac:dyDescent="0.2">
      <c r="E398" s="13"/>
      <c r="L398" s="13"/>
    </row>
    <row r="399" spans="1:13" ht="15.75" customHeight="1" x14ac:dyDescent="0.2">
      <c r="E399" s="13"/>
      <c r="L399" s="13"/>
    </row>
    <row r="400" spans="1:13" ht="15.75" customHeight="1" x14ac:dyDescent="0.2">
      <c r="E400" s="13"/>
      <c r="L400" s="13"/>
    </row>
    <row r="401" spans="5:12" ht="15.75" customHeight="1" x14ac:dyDescent="0.2">
      <c r="E401" s="13"/>
      <c r="L401" s="13"/>
    </row>
    <row r="402" spans="5:12" ht="15.75" customHeight="1" x14ac:dyDescent="0.2">
      <c r="E402" s="13"/>
      <c r="L402" s="13"/>
    </row>
    <row r="403" spans="5:12" ht="15.75" customHeight="1" x14ac:dyDescent="0.2">
      <c r="E403" s="13"/>
      <c r="L403" s="13"/>
    </row>
    <row r="404" spans="5:12" ht="15.75" customHeight="1" x14ac:dyDescent="0.2">
      <c r="E404" s="13"/>
      <c r="L404" s="13"/>
    </row>
    <row r="405" spans="5:12" ht="15.75" customHeight="1" x14ac:dyDescent="0.2">
      <c r="E405" s="13"/>
      <c r="L405" s="13"/>
    </row>
    <row r="406" spans="5:12" ht="15.75" customHeight="1" x14ac:dyDescent="0.2">
      <c r="E406" s="13"/>
      <c r="L406" s="13"/>
    </row>
    <row r="407" spans="5:12" ht="15.75" customHeight="1" x14ac:dyDescent="0.2">
      <c r="E407" s="13"/>
      <c r="L407" s="13"/>
    </row>
    <row r="408" spans="5:12" ht="15.75" customHeight="1" x14ac:dyDescent="0.2">
      <c r="E408" s="13"/>
      <c r="L408" s="13"/>
    </row>
    <row r="409" spans="5:12" ht="15.75" customHeight="1" x14ac:dyDescent="0.2">
      <c r="E409" s="13"/>
      <c r="L409" s="13"/>
    </row>
    <row r="410" spans="5:12" ht="15.75" customHeight="1" x14ac:dyDescent="0.2">
      <c r="E410" s="13"/>
      <c r="L410" s="13"/>
    </row>
    <row r="411" spans="5:12" ht="15.75" customHeight="1" x14ac:dyDescent="0.2">
      <c r="E411" s="13"/>
      <c r="L411" s="13"/>
    </row>
    <row r="412" spans="5:12" ht="15.75" customHeight="1" x14ac:dyDescent="0.2">
      <c r="E412" s="13"/>
      <c r="L412" s="13"/>
    </row>
    <row r="413" spans="5:12" ht="15.75" customHeight="1" x14ac:dyDescent="0.2">
      <c r="E413" s="13"/>
      <c r="L413" s="13"/>
    </row>
    <row r="414" spans="5:12" ht="15.75" customHeight="1" x14ac:dyDescent="0.2">
      <c r="E414" s="13"/>
      <c r="L414" s="13"/>
    </row>
    <row r="415" spans="5:12" ht="15.75" customHeight="1" x14ac:dyDescent="0.2">
      <c r="E415" s="13"/>
      <c r="L415" s="13"/>
    </row>
    <row r="416" spans="5:12" ht="15.75" customHeight="1" x14ac:dyDescent="0.2">
      <c r="E416" s="13"/>
      <c r="L416" s="13"/>
    </row>
    <row r="417" spans="5:12" ht="15.75" customHeight="1" x14ac:dyDescent="0.2">
      <c r="E417" s="13"/>
      <c r="L417" s="13"/>
    </row>
    <row r="418" spans="5:12" ht="15.75" customHeight="1" x14ac:dyDescent="0.2">
      <c r="E418" s="13"/>
      <c r="L418" s="13"/>
    </row>
    <row r="419" spans="5:12" ht="15.75" customHeight="1" x14ac:dyDescent="0.2">
      <c r="E419" s="13"/>
      <c r="L419" s="13"/>
    </row>
    <row r="420" spans="5:12" ht="15.75" customHeight="1" x14ac:dyDescent="0.2">
      <c r="E420" s="13"/>
      <c r="L420" s="13"/>
    </row>
    <row r="421" spans="5:12" ht="15.75" customHeight="1" x14ac:dyDescent="0.2">
      <c r="E421" s="13"/>
      <c r="L421" s="13"/>
    </row>
    <row r="422" spans="5:12" ht="15.75" customHeight="1" x14ac:dyDescent="0.2">
      <c r="E422" s="13"/>
      <c r="L422" s="13"/>
    </row>
    <row r="423" spans="5:12" ht="15.75" customHeight="1" x14ac:dyDescent="0.2">
      <c r="E423" s="13"/>
      <c r="L423" s="13"/>
    </row>
    <row r="424" spans="5:12" ht="15.75" customHeight="1" x14ac:dyDescent="0.2">
      <c r="E424" s="13"/>
      <c r="L424" s="13"/>
    </row>
    <row r="425" spans="5:12" ht="15.75" customHeight="1" x14ac:dyDescent="0.2">
      <c r="E425" s="13"/>
      <c r="L425" s="13"/>
    </row>
    <row r="426" spans="5:12" ht="15.75" customHeight="1" x14ac:dyDescent="0.2">
      <c r="E426" s="13"/>
      <c r="L426" s="13"/>
    </row>
    <row r="427" spans="5:12" ht="15.75" customHeight="1" x14ac:dyDescent="0.2">
      <c r="E427" s="13"/>
      <c r="L427" s="13"/>
    </row>
    <row r="428" spans="5:12" ht="15.75" customHeight="1" x14ac:dyDescent="0.2">
      <c r="E428" s="13"/>
      <c r="L428" s="13"/>
    </row>
    <row r="429" spans="5:12" ht="15.75" customHeight="1" x14ac:dyDescent="0.2">
      <c r="E429" s="13"/>
      <c r="L429" s="13"/>
    </row>
    <row r="430" spans="5:12" ht="15.75" customHeight="1" x14ac:dyDescent="0.2">
      <c r="E430" s="13"/>
      <c r="L430" s="13"/>
    </row>
    <row r="431" spans="5:12" ht="15.75" customHeight="1" x14ac:dyDescent="0.2">
      <c r="E431" s="13"/>
      <c r="L431" s="13"/>
    </row>
    <row r="432" spans="5:12" ht="15.75" customHeight="1" x14ac:dyDescent="0.2">
      <c r="E432" s="13"/>
      <c r="L432" s="13"/>
    </row>
    <row r="433" spans="5:12" ht="15.75" customHeight="1" x14ac:dyDescent="0.2">
      <c r="E433" s="13"/>
      <c r="L433" s="13"/>
    </row>
    <row r="434" spans="5:12" ht="15.75" customHeight="1" x14ac:dyDescent="0.2">
      <c r="E434" s="13"/>
      <c r="L434" s="13"/>
    </row>
    <row r="435" spans="5:12" ht="15.75" customHeight="1" x14ac:dyDescent="0.2">
      <c r="E435" s="13"/>
      <c r="L435" s="13"/>
    </row>
    <row r="436" spans="5:12" ht="15.75" customHeight="1" x14ac:dyDescent="0.2">
      <c r="E436" s="13"/>
      <c r="L436" s="13"/>
    </row>
    <row r="437" spans="5:12" ht="15.75" customHeight="1" x14ac:dyDescent="0.2">
      <c r="E437" s="13"/>
      <c r="L437" s="13"/>
    </row>
    <row r="438" spans="5:12" ht="15.75" customHeight="1" x14ac:dyDescent="0.2">
      <c r="E438" s="13"/>
      <c r="L438" s="13"/>
    </row>
    <row r="439" spans="5:12" ht="15.75" customHeight="1" x14ac:dyDescent="0.2">
      <c r="E439" s="13"/>
      <c r="L439" s="13"/>
    </row>
    <row r="440" spans="5:12" ht="15.75" customHeight="1" x14ac:dyDescent="0.2">
      <c r="E440" s="13"/>
      <c r="L440" s="13"/>
    </row>
    <row r="441" spans="5:12" ht="15.75" customHeight="1" x14ac:dyDescent="0.2">
      <c r="E441" s="13"/>
      <c r="L441" s="13"/>
    </row>
    <row r="442" spans="5:12" ht="15.75" customHeight="1" x14ac:dyDescent="0.2">
      <c r="E442" s="13"/>
      <c r="L442" s="13"/>
    </row>
    <row r="443" spans="5:12" ht="15.75" customHeight="1" x14ac:dyDescent="0.2">
      <c r="E443" s="13"/>
      <c r="L443" s="13"/>
    </row>
    <row r="444" spans="5:12" ht="15.75" customHeight="1" x14ac:dyDescent="0.2">
      <c r="E444" s="13"/>
      <c r="L444" s="13"/>
    </row>
    <row r="445" spans="5:12" ht="15.75" customHeight="1" x14ac:dyDescent="0.2">
      <c r="E445" s="13"/>
      <c r="L445" s="13"/>
    </row>
    <row r="446" spans="5:12" ht="15.75" customHeight="1" x14ac:dyDescent="0.2">
      <c r="E446" s="13"/>
      <c r="L446" s="13"/>
    </row>
    <row r="447" spans="5:12" ht="15.75" customHeight="1" x14ac:dyDescent="0.2">
      <c r="E447" s="13"/>
      <c r="L447" s="13"/>
    </row>
    <row r="448" spans="5:12" ht="15.75" customHeight="1" x14ac:dyDescent="0.2">
      <c r="E448" s="13"/>
      <c r="L448" s="13"/>
    </row>
    <row r="449" spans="5:12" ht="15.75" customHeight="1" x14ac:dyDescent="0.2">
      <c r="E449" s="13"/>
      <c r="L449" s="13"/>
    </row>
    <row r="450" spans="5:12" ht="15.75" customHeight="1" x14ac:dyDescent="0.2">
      <c r="E450" s="13"/>
      <c r="L450" s="13"/>
    </row>
    <row r="451" spans="5:12" ht="15.75" customHeight="1" x14ac:dyDescent="0.2">
      <c r="E451" s="13"/>
      <c r="L451" s="13"/>
    </row>
    <row r="452" spans="5:12" ht="15.75" customHeight="1" x14ac:dyDescent="0.2">
      <c r="E452" s="13"/>
      <c r="L452" s="13"/>
    </row>
    <row r="453" spans="5:12" ht="15.75" customHeight="1" x14ac:dyDescent="0.2">
      <c r="E453" s="13"/>
      <c r="L453" s="13"/>
    </row>
    <row r="454" spans="5:12" ht="15.75" customHeight="1" x14ac:dyDescent="0.2">
      <c r="E454" s="13"/>
      <c r="L454" s="13"/>
    </row>
    <row r="455" spans="5:12" ht="15.75" customHeight="1" x14ac:dyDescent="0.2">
      <c r="E455" s="13"/>
      <c r="L455" s="13"/>
    </row>
    <row r="456" spans="5:12" ht="15.75" customHeight="1" x14ac:dyDescent="0.2">
      <c r="E456" s="13"/>
      <c r="L456" s="13"/>
    </row>
    <row r="457" spans="5:12" ht="15.75" customHeight="1" x14ac:dyDescent="0.2">
      <c r="E457" s="13"/>
      <c r="L457" s="13"/>
    </row>
    <row r="458" spans="5:12" ht="15.75" customHeight="1" x14ac:dyDescent="0.2">
      <c r="E458" s="13"/>
      <c r="L458" s="13"/>
    </row>
    <row r="459" spans="5:12" ht="15.75" customHeight="1" x14ac:dyDescent="0.2">
      <c r="E459" s="13"/>
      <c r="L459" s="13"/>
    </row>
    <row r="460" spans="5:12" ht="15.75" customHeight="1" x14ac:dyDescent="0.2">
      <c r="E460" s="13"/>
      <c r="L460" s="13"/>
    </row>
    <row r="461" spans="5:12" ht="15.75" customHeight="1" x14ac:dyDescent="0.2">
      <c r="E461" s="13"/>
      <c r="L461" s="13"/>
    </row>
    <row r="462" spans="5:12" ht="15.75" customHeight="1" x14ac:dyDescent="0.2">
      <c r="E462" s="13"/>
      <c r="L462" s="13"/>
    </row>
    <row r="463" spans="5:12" ht="15.75" customHeight="1" x14ac:dyDescent="0.2">
      <c r="E463" s="13"/>
      <c r="L463" s="13"/>
    </row>
    <row r="464" spans="5:12" ht="15.75" customHeight="1" x14ac:dyDescent="0.2">
      <c r="E464" s="13"/>
      <c r="L464" s="13"/>
    </row>
    <row r="465" spans="5:12" ht="15.75" customHeight="1" x14ac:dyDescent="0.2">
      <c r="E465" s="13"/>
      <c r="L465" s="13"/>
    </row>
    <row r="466" spans="5:12" ht="15.75" customHeight="1" x14ac:dyDescent="0.2">
      <c r="E466" s="13"/>
      <c r="L466" s="13"/>
    </row>
    <row r="467" spans="5:12" ht="15.75" customHeight="1" x14ac:dyDescent="0.2">
      <c r="E467" s="13"/>
      <c r="L467" s="13"/>
    </row>
    <row r="468" spans="5:12" ht="15.75" customHeight="1" x14ac:dyDescent="0.2">
      <c r="E468" s="13"/>
      <c r="L468" s="13"/>
    </row>
    <row r="469" spans="5:12" ht="15.75" customHeight="1" x14ac:dyDescent="0.2">
      <c r="E469" s="13"/>
      <c r="L469" s="13"/>
    </row>
    <row r="470" spans="5:12" ht="15.75" customHeight="1" x14ac:dyDescent="0.2">
      <c r="E470" s="13"/>
      <c r="L470" s="13"/>
    </row>
    <row r="471" spans="5:12" ht="15.75" customHeight="1" x14ac:dyDescent="0.2">
      <c r="E471" s="13"/>
      <c r="L471" s="13"/>
    </row>
    <row r="472" spans="5:12" ht="15.75" customHeight="1" x14ac:dyDescent="0.2">
      <c r="E472" s="13"/>
      <c r="L472" s="13"/>
    </row>
    <row r="473" spans="5:12" ht="15.75" customHeight="1" x14ac:dyDescent="0.2">
      <c r="E473" s="13"/>
      <c r="L473" s="13"/>
    </row>
    <row r="474" spans="5:12" ht="15.75" customHeight="1" x14ac:dyDescent="0.2">
      <c r="E474" s="13"/>
      <c r="L474" s="13"/>
    </row>
    <row r="475" spans="5:12" ht="15.75" customHeight="1" x14ac:dyDescent="0.2">
      <c r="E475" s="13"/>
      <c r="L475" s="13"/>
    </row>
    <row r="476" spans="5:12" ht="15.75" customHeight="1" x14ac:dyDescent="0.2">
      <c r="E476" s="13"/>
      <c r="L476" s="13"/>
    </row>
    <row r="477" spans="5:12" ht="15.75" customHeight="1" x14ac:dyDescent="0.2">
      <c r="E477" s="13"/>
      <c r="L477" s="13"/>
    </row>
    <row r="478" spans="5:12" ht="15.75" customHeight="1" x14ac:dyDescent="0.2">
      <c r="E478" s="13"/>
      <c r="L478" s="13"/>
    </row>
    <row r="479" spans="5:12" ht="15.75" customHeight="1" x14ac:dyDescent="0.2">
      <c r="E479" s="13"/>
      <c r="L479" s="13"/>
    </row>
    <row r="480" spans="5:12" ht="15.75" customHeight="1" x14ac:dyDescent="0.2">
      <c r="E480" s="13"/>
      <c r="L480" s="13"/>
    </row>
    <row r="481" spans="5:12" ht="15.75" customHeight="1" x14ac:dyDescent="0.2">
      <c r="E481" s="13"/>
      <c r="L481" s="13"/>
    </row>
    <row r="482" spans="5:12" ht="15.75" customHeight="1" x14ac:dyDescent="0.2">
      <c r="E482" s="13"/>
      <c r="L482" s="13"/>
    </row>
    <row r="483" spans="5:12" ht="15.75" customHeight="1" x14ac:dyDescent="0.2">
      <c r="E483" s="13"/>
      <c r="L483" s="13"/>
    </row>
    <row r="484" spans="5:12" ht="15.75" customHeight="1" x14ac:dyDescent="0.2">
      <c r="E484" s="13"/>
      <c r="L484" s="13"/>
    </row>
    <row r="485" spans="5:12" ht="15.75" customHeight="1" x14ac:dyDescent="0.2">
      <c r="E485" s="13"/>
      <c r="L485" s="13"/>
    </row>
    <row r="486" spans="5:12" ht="15.75" customHeight="1" x14ac:dyDescent="0.2">
      <c r="E486" s="13"/>
      <c r="L486" s="13"/>
    </row>
    <row r="487" spans="5:12" ht="15.75" customHeight="1" x14ac:dyDescent="0.2">
      <c r="E487" s="13"/>
      <c r="L487" s="13"/>
    </row>
    <row r="488" spans="5:12" ht="15.75" customHeight="1" x14ac:dyDescent="0.2">
      <c r="E488" s="13"/>
      <c r="L488" s="13"/>
    </row>
    <row r="489" spans="5:12" ht="15.75" customHeight="1" x14ac:dyDescent="0.2">
      <c r="E489" s="13"/>
      <c r="L489" s="13"/>
    </row>
    <row r="490" spans="5:12" ht="15.75" customHeight="1" x14ac:dyDescent="0.2">
      <c r="E490" s="13"/>
      <c r="L490" s="13"/>
    </row>
    <row r="491" spans="5:12" ht="15.75" customHeight="1" x14ac:dyDescent="0.2">
      <c r="E491" s="13"/>
      <c r="L491" s="13"/>
    </row>
    <row r="492" spans="5:12" ht="15.75" customHeight="1" x14ac:dyDescent="0.2">
      <c r="E492" s="13"/>
      <c r="L492" s="13"/>
    </row>
    <row r="493" spans="5:12" ht="15.75" customHeight="1" x14ac:dyDescent="0.2">
      <c r="E493" s="13"/>
      <c r="L493" s="13"/>
    </row>
    <row r="494" spans="5:12" ht="15.75" customHeight="1" x14ac:dyDescent="0.2">
      <c r="E494" s="13"/>
      <c r="L494" s="13"/>
    </row>
    <row r="495" spans="5:12" ht="15.75" customHeight="1" x14ac:dyDescent="0.2">
      <c r="E495" s="13"/>
      <c r="L495" s="13"/>
    </row>
    <row r="496" spans="5:12" ht="15.75" customHeight="1" x14ac:dyDescent="0.2">
      <c r="E496" s="13"/>
      <c r="L496" s="13"/>
    </row>
    <row r="497" spans="5:12" ht="15.75" customHeight="1" x14ac:dyDescent="0.2">
      <c r="E497" s="13"/>
      <c r="L497" s="13"/>
    </row>
    <row r="498" spans="5:12" ht="15.75" customHeight="1" x14ac:dyDescent="0.2">
      <c r="E498" s="13"/>
      <c r="L498" s="13"/>
    </row>
    <row r="499" spans="5:12" ht="15.75" customHeight="1" x14ac:dyDescent="0.2">
      <c r="E499" s="13"/>
      <c r="L499" s="13"/>
    </row>
    <row r="500" spans="5:12" ht="15.75" customHeight="1" x14ac:dyDescent="0.2">
      <c r="E500" s="13"/>
      <c r="L500" s="13"/>
    </row>
    <row r="501" spans="5:12" ht="15.75" customHeight="1" x14ac:dyDescent="0.2">
      <c r="E501" s="13"/>
      <c r="L501" s="13"/>
    </row>
    <row r="502" spans="5:12" ht="15.75" customHeight="1" x14ac:dyDescent="0.2">
      <c r="E502" s="13"/>
      <c r="L502" s="13"/>
    </row>
    <row r="503" spans="5:12" ht="15.75" customHeight="1" x14ac:dyDescent="0.2">
      <c r="E503" s="13"/>
      <c r="L503" s="13"/>
    </row>
    <row r="504" spans="5:12" ht="15.75" customHeight="1" x14ac:dyDescent="0.2">
      <c r="E504" s="13"/>
      <c r="L504" s="13"/>
    </row>
    <row r="505" spans="5:12" ht="15.75" customHeight="1" x14ac:dyDescent="0.2">
      <c r="E505" s="13"/>
      <c r="L505" s="13"/>
    </row>
    <row r="506" spans="5:12" ht="15.75" customHeight="1" x14ac:dyDescent="0.2">
      <c r="E506" s="13"/>
      <c r="L506" s="13"/>
    </row>
    <row r="507" spans="5:12" ht="15.75" customHeight="1" x14ac:dyDescent="0.2">
      <c r="E507" s="13"/>
      <c r="L507" s="13"/>
    </row>
    <row r="508" spans="5:12" ht="15.75" customHeight="1" x14ac:dyDescent="0.2">
      <c r="E508" s="13"/>
      <c r="L508" s="13"/>
    </row>
    <row r="509" spans="5:12" ht="15.75" customHeight="1" x14ac:dyDescent="0.2">
      <c r="E509" s="13"/>
      <c r="L509" s="13"/>
    </row>
    <row r="510" spans="5:12" ht="15.75" customHeight="1" x14ac:dyDescent="0.2">
      <c r="E510" s="13"/>
      <c r="L510" s="13"/>
    </row>
    <row r="511" spans="5:12" ht="15.75" customHeight="1" x14ac:dyDescent="0.2">
      <c r="E511" s="13"/>
      <c r="L511" s="13"/>
    </row>
    <row r="512" spans="5:12" ht="15.75" customHeight="1" x14ac:dyDescent="0.2">
      <c r="E512" s="13"/>
      <c r="L512" s="13"/>
    </row>
    <row r="513" spans="5:12" ht="15.75" customHeight="1" x14ac:dyDescent="0.2">
      <c r="E513" s="13"/>
      <c r="L513" s="13"/>
    </row>
    <row r="514" spans="5:12" ht="15.75" customHeight="1" x14ac:dyDescent="0.2">
      <c r="E514" s="13"/>
      <c r="L514" s="13"/>
    </row>
    <row r="515" spans="5:12" ht="15.75" customHeight="1" x14ac:dyDescent="0.2">
      <c r="E515" s="13"/>
      <c r="L515" s="13"/>
    </row>
    <row r="516" spans="5:12" ht="15.75" customHeight="1" x14ac:dyDescent="0.2">
      <c r="E516" s="13"/>
      <c r="L516" s="13"/>
    </row>
    <row r="517" spans="5:12" ht="15.75" customHeight="1" x14ac:dyDescent="0.2">
      <c r="E517" s="13"/>
      <c r="L517" s="13"/>
    </row>
    <row r="518" spans="5:12" ht="15.75" customHeight="1" x14ac:dyDescent="0.2">
      <c r="E518" s="13"/>
      <c r="L518" s="13"/>
    </row>
    <row r="519" spans="5:12" ht="15.75" customHeight="1" x14ac:dyDescent="0.2">
      <c r="E519" s="13"/>
      <c r="L519" s="13"/>
    </row>
    <row r="520" spans="5:12" ht="15.75" customHeight="1" x14ac:dyDescent="0.2">
      <c r="E520" s="13"/>
      <c r="L520" s="13"/>
    </row>
    <row r="521" spans="5:12" ht="15.75" customHeight="1" x14ac:dyDescent="0.2">
      <c r="E521" s="13"/>
      <c r="L521" s="13"/>
    </row>
    <row r="522" spans="5:12" ht="15.75" customHeight="1" x14ac:dyDescent="0.2">
      <c r="E522" s="13"/>
      <c r="L522" s="13"/>
    </row>
    <row r="523" spans="5:12" ht="15.75" customHeight="1" x14ac:dyDescent="0.2">
      <c r="E523" s="13"/>
      <c r="L523" s="13"/>
    </row>
    <row r="524" spans="5:12" ht="15.75" customHeight="1" x14ac:dyDescent="0.2">
      <c r="E524" s="13"/>
      <c r="L524" s="13"/>
    </row>
    <row r="525" spans="5:12" ht="15.75" customHeight="1" x14ac:dyDescent="0.2">
      <c r="E525" s="13"/>
      <c r="L525" s="13"/>
    </row>
    <row r="526" spans="5:12" ht="15.75" customHeight="1" x14ac:dyDescent="0.2">
      <c r="E526" s="13"/>
      <c r="L526" s="13"/>
    </row>
    <row r="527" spans="5:12" ht="15.75" customHeight="1" x14ac:dyDescent="0.2">
      <c r="E527" s="13"/>
      <c r="L527" s="13"/>
    </row>
    <row r="528" spans="5:12" ht="15.75" customHeight="1" x14ac:dyDescent="0.2">
      <c r="E528" s="13"/>
      <c r="L528" s="13"/>
    </row>
    <row r="529" spans="5:12" ht="15.75" customHeight="1" x14ac:dyDescent="0.2">
      <c r="E529" s="13"/>
      <c r="L529" s="13"/>
    </row>
    <row r="530" spans="5:12" ht="15.75" customHeight="1" x14ac:dyDescent="0.2">
      <c r="E530" s="13"/>
      <c r="L530" s="13"/>
    </row>
    <row r="531" spans="5:12" ht="15.75" customHeight="1" x14ac:dyDescent="0.2">
      <c r="E531" s="13"/>
      <c r="L531" s="13"/>
    </row>
    <row r="532" spans="5:12" ht="15.75" customHeight="1" x14ac:dyDescent="0.2">
      <c r="E532" s="13"/>
      <c r="L532" s="13"/>
    </row>
    <row r="533" spans="5:12" ht="15.75" customHeight="1" x14ac:dyDescent="0.2">
      <c r="E533" s="13"/>
      <c r="L533" s="13"/>
    </row>
    <row r="534" spans="5:12" ht="15.75" customHeight="1" x14ac:dyDescent="0.2">
      <c r="E534" s="13"/>
      <c r="L534" s="13"/>
    </row>
    <row r="535" spans="5:12" ht="15.75" customHeight="1" x14ac:dyDescent="0.2">
      <c r="E535" s="13"/>
      <c r="L535" s="13"/>
    </row>
    <row r="536" spans="5:12" ht="15.75" customHeight="1" x14ac:dyDescent="0.2">
      <c r="E536" s="13"/>
      <c r="L536" s="13"/>
    </row>
    <row r="537" spans="5:12" ht="15.75" customHeight="1" x14ac:dyDescent="0.2">
      <c r="E537" s="13"/>
      <c r="L537" s="13"/>
    </row>
    <row r="538" spans="5:12" ht="15.75" customHeight="1" x14ac:dyDescent="0.2">
      <c r="E538" s="13"/>
      <c r="L538" s="13"/>
    </row>
    <row r="539" spans="5:12" ht="15.75" customHeight="1" x14ac:dyDescent="0.2">
      <c r="E539" s="13"/>
      <c r="L539" s="13"/>
    </row>
    <row r="540" spans="5:12" ht="15.75" customHeight="1" x14ac:dyDescent="0.2">
      <c r="E540" s="13"/>
      <c r="L540" s="13"/>
    </row>
    <row r="541" spans="5:12" ht="15.75" customHeight="1" x14ac:dyDescent="0.2">
      <c r="E541" s="13"/>
      <c r="L541" s="13"/>
    </row>
    <row r="542" spans="5:12" ht="15.75" customHeight="1" x14ac:dyDescent="0.2">
      <c r="E542" s="13"/>
      <c r="L542" s="13"/>
    </row>
    <row r="543" spans="5:12" ht="15.75" customHeight="1" x14ac:dyDescent="0.2">
      <c r="E543" s="13"/>
      <c r="L543" s="13"/>
    </row>
    <row r="544" spans="5:12" ht="15.75" customHeight="1" x14ac:dyDescent="0.2">
      <c r="E544" s="13"/>
      <c r="L544" s="13"/>
    </row>
    <row r="545" spans="5:12" ht="15.75" customHeight="1" x14ac:dyDescent="0.2">
      <c r="E545" s="13"/>
      <c r="L545" s="13"/>
    </row>
    <row r="546" spans="5:12" ht="15.75" customHeight="1" x14ac:dyDescent="0.2">
      <c r="E546" s="13"/>
      <c r="L546" s="13"/>
    </row>
    <row r="547" spans="5:12" ht="15.75" customHeight="1" x14ac:dyDescent="0.2">
      <c r="E547" s="13"/>
      <c r="L547" s="13"/>
    </row>
    <row r="548" spans="5:12" ht="15.75" customHeight="1" x14ac:dyDescent="0.2">
      <c r="E548" s="13"/>
      <c r="L548" s="13"/>
    </row>
    <row r="549" spans="5:12" ht="15.75" customHeight="1" x14ac:dyDescent="0.2">
      <c r="E549" s="13"/>
      <c r="L549" s="13"/>
    </row>
    <row r="550" spans="5:12" ht="15.75" customHeight="1" x14ac:dyDescent="0.2">
      <c r="E550" s="13"/>
      <c r="L550" s="13"/>
    </row>
    <row r="551" spans="5:12" ht="15.75" customHeight="1" x14ac:dyDescent="0.2">
      <c r="E551" s="13"/>
      <c r="L551" s="13"/>
    </row>
    <row r="552" spans="5:12" ht="15.75" customHeight="1" x14ac:dyDescent="0.2">
      <c r="E552" s="13"/>
      <c r="L552" s="13"/>
    </row>
    <row r="553" spans="5:12" ht="15.75" customHeight="1" x14ac:dyDescent="0.2">
      <c r="E553" s="13"/>
      <c r="L553" s="13"/>
    </row>
    <row r="554" spans="5:12" ht="15.75" customHeight="1" x14ac:dyDescent="0.2">
      <c r="E554" s="13"/>
      <c r="L554" s="13"/>
    </row>
    <row r="555" spans="5:12" ht="15.75" customHeight="1" x14ac:dyDescent="0.2">
      <c r="E555" s="13"/>
      <c r="L555" s="13"/>
    </row>
    <row r="556" spans="5:12" ht="15.75" customHeight="1" x14ac:dyDescent="0.2">
      <c r="E556" s="13"/>
      <c r="L556" s="13"/>
    </row>
    <row r="557" spans="5:12" ht="15.75" customHeight="1" x14ac:dyDescent="0.2">
      <c r="E557" s="13"/>
      <c r="L557" s="13"/>
    </row>
    <row r="558" spans="5:12" ht="15.75" customHeight="1" x14ac:dyDescent="0.2">
      <c r="E558" s="13"/>
      <c r="L558" s="13"/>
    </row>
    <row r="559" spans="5:12" ht="15.75" customHeight="1" x14ac:dyDescent="0.2">
      <c r="E559" s="13"/>
      <c r="L559" s="13"/>
    </row>
    <row r="560" spans="5:12" ht="15.75" customHeight="1" x14ac:dyDescent="0.2">
      <c r="E560" s="13"/>
      <c r="L560" s="13"/>
    </row>
    <row r="561" spans="5:12" ht="15.75" customHeight="1" x14ac:dyDescent="0.2">
      <c r="E561" s="13"/>
      <c r="L561" s="13"/>
    </row>
    <row r="562" spans="5:12" ht="15.75" customHeight="1" x14ac:dyDescent="0.2">
      <c r="E562" s="13"/>
      <c r="L562" s="13"/>
    </row>
    <row r="563" spans="5:12" ht="15.75" customHeight="1" x14ac:dyDescent="0.2">
      <c r="E563" s="13"/>
      <c r="L563" s="13"/>
    </row>
    <row r="564" spans="5:12" ht="15.75" customHeight="1" x14ac:dyDescent="0.2">
      <c r="E564" s="13"/>
      <c r="L564" s="13"/>
    </row>
    <row r="565" spans="5:12" ht="15.75" customHeight="1" x14ac:dyDescent="0.2">
      <c r="E565" s="13"/>
      <c r="L565" s="13"/>
    </row>
    <row r="566" spans="5:12" ht="15.75" customHeight="1" x14ac:dyDescent="0.2">
      <c r="E566" s="13"/>
      <c r="L566" s="13"/>
    </row>
    <row r="567" spans="5:12" ht="15.75" customHeight="1" x14ac:dyDescent="0.2">
      <c r="E567" s="13"/>
      <c r="L567" s="13"/>
    </row>
    <row r="568" spans="5:12" ht="15.75" customHeight="1" x14ac:dyDescent="0.2">
      <c r="E568" s="13"/>
      <c r="L568" s="13"/>
    </row>
    <row r="569" spans="5:12" ht="15.75" customHeight="1" x14ac:dyDescent="0.2">
      <c r="E569" s="13"/>
      <c r="L569" s="13"/>
    </row>
    <row r="570" spans="5:12" ht="15.75" customHeight="1" x14ac:dyDescent="0.2">
      <c r="E570" s="13"/>
      <c r="L570" s="13"/>
    </row>
    <row r="571" spans="5:12" ht="15.75" customHeight="1" x14ac:dyDescent="0.2">
      <c r="E571" s="13"/>
      <c r="L571" s="13"/>
    </row>
    <row r="572" spans="5:12" ht="15.75" customHeight="1" x14ac:dyDescent="0.2">
      <c r="E572" s="13"/>
      <c r="L572" s="13"/>
    </row>
    <row r="573" spans="5:12" ht="15.75" customHeight="1" x14ac:dyDescent="0.2">
      <c r="E573" s="13"/>
      <c r="L573" s="13"/>
    </row>
    <row r="574" spans="5:12" ht="15.75" customHeight="1" x14ac:dyDescent="0.2">
      <c r="E574" s="13"/>
      <c r="L574" s="13"/>
    </row>
    <row r="575" spans="5:12" ht="15.75" customHeight="1" x14ac:dyDescent="0.2">
      <c r="E575" s="13"/>
      <c r="L575" s="13"/>
    </row>
    <row r="576" spans="5:12" ht="15.75" customHeight="1" x14ac:dyDescent="0.2">
      <c r="E576" s="13"/>
      <c r="L576" s="13"/>
    </row>
    <row r="577" spans="5:12" ht="15.75" customHeight="1" x14ac:dyDescent="0.2">
      <c r="E577" s="13"/>
      <c r="L577" s="13"/>
    </row>
    <row r="578" spans="5:12" ht="15.75" customHeight="1" x14ac:dyDescent="0.2">
      <c r="E578" s="13"/>
      <c r="L578" s="13"/>
    </row>
    <row r="579" spans="5:12" ht="15.75" customHeight="1" x14ac:dyDescent="0.2">
      <c r="E579" s="13"/>
      <c r="L579" s="13"/>
    </row>
    <row r="580" spans="5:12" ht="15.75" customHeight="1" x14ac:dyDescent="0.2">
      <c r="E580" s="13"/>
      <c r="L580" s="13"/>
    </row>
    <row r="581" spans="5:12" ht="15.75" customHeight="1" x14ac:dyDescent="0.2">
      <c r="E581" s="13"/>
      <c r="L581" s="13"/>
    </row>
    <row r="582" spans="5:12" ht="15.75" customHeight="1" x14ac:dyDescent="0.2">
      <c r="E582" s="13"/>
      <c r="L582" s="13"/>
    </row>
    <row r="583" spans="5:12" ht="15.75" customHeight="1" x14ac:dyDescent="0.2">
      <c r="E583" s="13"/>
      <c r="L583" s="13"/>
    </row>
    <row r="584" spans="5:12" ht="15.75" customHeight="1" x14ac:dyDescent="0.2">
      <c r="E584" s="13"/>
      <c r="L584" s="13"/>
    </row>
    <row r="585" spans="5:12" ht="15.75" customHeight="1" x14ac:dyDescent="0.2">
      <c r="E585" s="13"/>
      <c r="L585" s="13"/>
    </row>
    <row r="586" spans="5:12" ht="15.75" customHeight="1" x14ac:dyDescent="0.2">
      <c r="E586" s="13"/>
      <c r="L586" s="13"/>
    </row>
    <row r="587" spans="5:12" ht="15.75" customHeight="1" x14ac:dyDescent="0.2">
      <c r="E587" s="13"/>
      <c r="L587" s="13"/>
    </row>
    <row r="588" spans="5:12" ht="15.75" customHeight="1" x14ac:dyDescent="0.2">
      <c r="E588" s="13"/>
      <c r="L588" s="13"/>
    </row>
    <row r="589" spans="5:12" ht="15.75" customHeight="1" x14ac:dyDescent="0.2">
      <c r="E589" s="13"/>
      <c r="L589" s="13"/>
    </row>
    <row r="590" spans="5:12" ht="15.75" customHeight="1" x14ac:dyDescent="0.2">
      <c r="E590" s="13"/>
      <c r="L590" s="13"/>
    </row>
    <row r="591" spans="5:12" ht="15.75" customHeight="1" x14ac:dyDescent="0.2">
      <c r="E591" s="13"/>
      <c r="L591" s="13"/>
    </row>
    <row r="592" spans="5:12" ht="15.75" customHeight="1" x14ac:dyDescent="0.2">
      <c r="E592" s="13"/>
      <c r="L592" s="13"/>
    </row>
    <row r="593" spans="5:12" ht="15.75" customHeight="1" x14ac:dyDescent="0.2">
      <c r="E593" s="13"/>
      <c r="L593" s="13"/>
    </row>
    <row r="594" spans="5:12" ht="15.75" customHeight="1" x14ac:dyDescent="0.2">
      <c r="E594" s="13"/>
      <c r="L594" s="13"/>
    </row>
    <row r="595" spans="5:12" ht="15.75" customHeight="1" x14ac:dyDescent="0.2">
      <c r="E595" s="13"/>
      <c r="L595" s="13"/>
    </row>
    <row r="596" spans="5:12" ht="15.75" customHeight="1" x14ac:dyDescent="0.2">
      <c r="E596" s="13"/>
      <c r="L596" s="13"/>
    </row>
    <row r="597" spans="5:12" ht="15.75" customHeight="1" x14ac:dyDescent="0.2">
      <c r="E597" s="13"/>
      <c r="L597" s="13"/>
    </row>
    <row r="598" spans="5:12" ht="15.75" customHeight="1" x14ac:dyDescent="0.2">
      <c r="E598" s="13"/>
      <c r="L598" s="13"/>
    </row>
    <row r="599" spans="5:12" ht="15.75" customHeight="1" x14ac:dyDescent="0.2">
      <c r="E599" s="13"/>
      <c r="L599" s="13"/>
    </row>
    <row r="600" spans="5:12" ht="15.75" customHeight="1" x14ac:dyDescent="0.2">
      <c r="E600" s="13"/>
      <c r="L600" s="13"/>
    </row>
    <row r="601" spans="5:12" ht="15.75" customHeight="1" x14ac:dyDescent="0.2">
      <c r="E601" s="13"/>
      <c r="L601" s="13"/>
    </row>
    <row r="602" spans="5:12" ht="15.75" customHeight="1" x14ac:dyDescent="0.2">
      <c r="E602" s="13"/>
      <c r="L602" s="13"/>
    </row>
    <row r="603" spans="5:12" ht="15.75" customHeight="1" x14ac:dyDescent="0.2">
      <c r="E603" s="13"/>
      <c r="L603" s="13"/>
    </row>
    <row r="604" spans="5:12" ht="15.75" customHeight="1" x14ac:dyDescent="0.2">
      <c r="E604" s="13"/>
      <c r="L604" s="13"/>
    </row>
    <row r="605" spans="5:12" ht="15.75" customHeight="1" x14ac:dyDescent="0.2">
      <c r="E605" s="13"/>
      <c r="L605" s="13"/>
    </row>
    <row r="606" spans="5:12" ht="15.75" customHeight="1" x14ac:dyDescent="0.2">
      <c r="E606" s="13"/>
      <c r="L606" s="13"/>
    </row>
    <row r="607" spans="5:12" ht="15.75" customHeight="1" x14ac:dyDescent="0.2">
      <c r="E607" s="13"/>
      <c r="L607" s="13"/>
    </row>
    <row r="608" spans="5:12" ht="15.75" customHeight="1" x14ac:dyDescent="0.2">
      <c r="E608" s="13"/>
      <c r="L608" s="13"/>
    </row>
    <row r="609" spans="5:12" ht="15.75" customHeight="1" x14ac:dyDescent="0.2">
      <c r="E609" s="13"/>
      <c r="L609" s="13"/>
    </row>
    <row r="610" spans="5:12" ht="15.75" customHeight="1" x14ac:dyDescent="0.2">
      <c r="E610" s="13"/>
      <c r="L610" s="13"/>
    </row>
    <row r="611" spans="5:12" ht="15.75" customHeight="1" x14ac:dyDescent="0.2">
      <c r="E611" s="13"/>
      <c r="L611" s="13"/>
    </row>
    <row r="612" spans="5:12" ht="15.75" customHeight="1" x14ac:dyDescent="0.2">
      <c r="E612" s="13"/>
      <c r="L612" s="13"/>
    </row>
    <row r="613" spans="5:12" ht="15.75" customHeight="1" x14ac:dyDescent="0.2">
      <c r="E613" s="13"/>
      <c r="L613" s="13"/>
    </row>
    <row r="614" spans="5:12" ht="15.75" customHeight="1" x14ac:dyDescent="0.2">
      <c r="E614" s="13"/>
      <c r="L614" s="13"/>
    </row>
    <row r="615" spans="5:12" ht="15.75" customHeight="1" x14ac:dyDescent="0.2">
      <c r="E615" s="13"/>
      <c r="L615" s="13"/>
    </row>
    <row r="616" spans="5:12" ht="15.75" customHeight="1" x14ac:dyDescent="0.2">
      <c r="E616" s="13"/>
      <c r="L616" s="13"/>
    </row>
    <row r="617" spans="5:12" ht="15.75" customHeight="1" x14ac:dyDescent="0.2">
      <c r="E617" s="13"/>
      <c r="L617" s="13"/>
    </row>
    <row r="618" spans="5:12" ht="15.75" customHeight="1" x14ac:dyDescent="0.2">
      <c r="E618" s="13"/>
      <c r="L618" s="13"/>
    </row>
    <row r="619" spans="5:12" ht="15.75" customHeight="1" x14ac:dyDescent="0.2">
      <c r="E619" s="13"/>
      <c r="L619" s="13"/>
    </row>
    <row r="620" spans="5:12" ht="15.75" customHeight="1" x14ac:dyDescent="0.2">
      <c r="E620" s="13"/>
      <c r="L620" s="13"/>
    </row>
    <row r="621" spans="5:12" ht="15.75" customHeight="1" x14ac:dyDescent="0.2">
      <c r="E621" s="13"/>
      <c r="L621" s="13"/>
    </row>
    <row r="622" spans="5:12" ht="15.75" customHeight="1" x14ac:dyDescent="0.2">
      <c r="E622" s="13"/>
      <c r="L622" s="13"/>
    </row>
    <row r="623" spans="5:12" ht="15.75" customHeight="1" x14ac:dyDescent="0.2">
      <c r="E623" s="13"/>
      <c r="L623" s="13"/>
    </row>
    <row r="624" spans="5:12" ht="15.75" customHeight="1" x14ac:dyDescent="0.2">
      <c r="E624" s="13"/>
      <c r="L624" s="13"/>
    </row>
    <row r="625" spans="5:12" ht="15.75" customHeight="1" x14ac:dyDescent="0.2">
      <c r="E625" s="13"/>
      <c r="L625" s="13"/>
    </row>
    <row r="626" spans="5:12" ht="15.75" customHeight="1" x14ac:dyDescent="0.2">
      <c r="E626" s="13"/>
      <c r="L626" s="13"/>
    </row>
    <row r="627" spans="5:12" ht="15.75" customHeight="1" x14ac:dyDescent="0.2">
      <c r="E627" s="13"/>
      <c r="L627" s="13"/>
    </row>
    <row r="628" spans="5:12" ht="15.75" customHeight="1" x14ac:dyDescent="0.2">
      <c r="E628" s="13"/>
      <c r="L628" s="13"/>
    </row>
    <row r="629" spans="5:12" ht="15.75" customHeight="1" x14ac:dyDescent="0.2">
      <c r="E629" s="13"/>
      <c r="L629" s="13"/>
    </row>
    <row r="630" spans="5:12" ht="15.75" customHeight="1" x14ac:dyDescent="0.2">
      <c r="E630" s="13"/>
      <c r="L630" s="13"/>
    </row>
    <row r="631" spans="5:12" ht="15.75" customHeight="1" x14ac:dyDescent="0.2">
      <c r="E631" s="13"/>
      <c r="L631" s="13"/>
    </row>
    <row r="632" spans="5:12" ht="15.75" customHeight="1" x14ac:dyDescent="0.2">
      <c r="E632" s="13"/>
      <c r="L632" s="13"/>
    </row>
    <row r="633" spans="5:12" ht="15.75" customHeight="1" x14ac:dyDescent="0.2">
      <c r="E633" s="13"/>
      <c r="L633" s="13"/>
    </row>
    <row r="634" spans="5:12" ht="15.75" customHeight="1" x14ac:dyDescent="0.2">
      <c r="E634" s="13"/>
      <c r="L634" s="13"/>
    </row>
    <row r="635" spans="5:12" ht="15.75" customHeight="1" x14ac:dyDescent="0.2">
      <c r="E635" s="13"/>
      <c r="L635" s="13"/>
    </row>
    <row r="636" spans="5:12" ht="15.75" customHeight="1" x14ac:dyDescent="0.2">
      <c r="E636" s="13"/>
      <c r="L636" s="13"/>
    </row>
    <row r="637" spans="5:12" ht="15.75" customHeight="1" x14ac:dyDescent="0.2">
      <c r="E637" s="13"/>
      <c r="L637" s="13"/>
    </row>
    <row r="638" spans="5:12" ht="15.75" customHeight="1" x14ac:dyDescent="0.2">
      <c r="E638" s="13"/>
      <c r="L638" s="13"/>
    </row>
    <row r="639" spans="5:12" ht="15.75" customHeight="1" x14ac:dyDescent="0.2">
      <c r="E639" s="13"/>
      <c r="L639" s="13"/>
    </row>
    <row r="640" spans="5:12" ht="15.75" customHeight="1" x14ac:dyDescent="0.2">
      <c r="E640" s="13"/>
      <c r="L640" s="13"/>
    </row>
    <row r="641" spans="5:12" ht="15.75" customHeight="1" x14ac:dyDescent="0.2">
      <c r="E641" s="13"/>
      <c r="L641" s="13"/>
    </row>
    <row r="642" spans="5:12" ht="15.75" customHeight="1" x14ac:dyDescent="0.2">
      <c r="E642" s="13"/>
      <c r="L642" s="13"/>
    </row>
    <row r="643" spans="5:12" ht="15.75" customHeight="1" x14ac:dyDescent="0.2">
      <c r="E643" s="13"/>
      <c r="L643" s="13"/>
    </row>
    <row r="644" spans="5:12" ht="15.75" customHeight="1" x14ac:dyDescent="0.2">
      <c r="E644" s="13"/>
      <c r="L644" s="13"/>
    </row>
    <row r="645" spans="5:12" ht="15.75" customHeight="1" x14ac:dyDescent="0.2">
      <c r="E645" s="13"/>
      <c r="L645" s="13"/>
    </row>
    <row r="646" spans="5:12" ht="15.75" customHeight="1" x14ac:dyDescent="0.2">
      <c r="E646" s="13"/>
      <c r="L646" s="13"/>
    </row>
    <row r="647" spans="5:12" ht="15.75" customHeight="1" x14ac:dyDescent="0.2">
      <c r="E647" s="13"/>
      <c r="L647" s="13"/>
    </row>
    <row r="648" spans="5:12" ht="15.75" customHeight="1" x14ac:dyDescent="0.2">
      <c r="E648" s="13"/>
      <c r="L648" s="13"/>
    </row>
    <row r="649" spans="5:12" ht="15.75" customHeight="1" x14ac:dyDescent="0.2">
      <c r="E649" s="13"/>
      <c r="L649" s="13"/>
    </row>
    <row r="650" spans="5:12" ht="15.75" customHeight="1" x14ac:dyDescent="0.2">
      <c r="E650" s="13"/>
      <c r="L650" s="13"/>
    </row>
    <row r="651" spans="5:12" ht="15.75" customHeight="1" x14ac:dyDescent="0.2">
      <c r="E651" s="13"/>
      <c r="L651" s="13"/>
    </row>
    <row r="652" spans="5:12" ht="15.75" customHeight="1" x14ac:dyDescent="0.2">
      <c r="E652" s="13"/>
      <c r="L652" s="13"/>
    </row>
    <row r="653" spans="5:12" ht="15.75" customHeight="1" x14ac:dyDescent="0.2">
      <c r="E653" s="13"/>
      <c r="L653" s="13"/>
    </row>
    <row r="654" spans="5:12" ht="15.75" customHeight="1" x14ac:dyDescent="0.2">
      <c r="E654" s="13"/>
      <c r="L654" s="13"/>
    </row>
    <row r="655" spans="5:12" ht="15.75" customHeight="1" x14ac:dyDescent="0.2">
      <c r="E655" s="13"/>
      <c r="L655" s="13"/>
    </row>
    <row r="656" spans="5:12" ht="15.75" customHeight="1" x14ac:dyDescent="0.2">
      <c r="E656" s="13"/>
      <c r="L656" s="13"/>
    </row>
    <row r="657" spans="5:12" ht="15.75" customHeight="1" x14ac:dyDescent="0.2">
      <c r="E657" s="13"/>
      <c r="L657" s="13"/>
    </row>
    <row r="658" spans="5:12" ht="15.75" customHeight="1" x14ac:dyDescent="0.2">
      <c r="E658" s="13"/>
      <c r="L658" s="13"/>
    </row>
    <row r="659" spans="5:12" ht="15.75" customHeight="1" x14ac:dyDescent="0.2">
      <c r="E659" s="13"/>
      <c r="L659" s="13"/>
    </row>
    <row r="660" spans="5:12" ht="15.75" customHeight="1" x14ac:dyDescent="0.2">
      <c r="E660" s="13"/>
      <c r="L660" s="13"/>
    </row>
    <row r="661" spans="5:12" ht="15.75" customHeight="1" x14ac:dyDescent="0.2">
      <c r="E661" s="13"/>
      <c r="L661" s="13"/>
    </row>
    <row r="662" spans="5:12" ht="15.75" customHeight="1" x14ac:dyDescent="0.2">
      <c r="E662" s="13"/>
      <c r="L662" s="13"/>
    </row>
    <row r="663" spans="5:12" ht="15.75" customHeight="1" x14ac:dyDescent="0.2">
      <c r="E663" s="13"/>
      <c r="L663" s="13"/>
    </row>
    <row r="664" spans="5:12" ht="15.75" customHeight="1" x14ac:dyDescent="0.2">
      <c r="E664" s="13"/>
      <c r="L664" s="13"/>
    </row>
    <row r="665" spans="5:12" ht="15.75" customHeight="1" x14ac:dyDescent="0.2">
      <c r="E665" s="13"/>
      <c r="L665" s="13"/>
    </row>
    <row r="666" spans="5:12" ht="15.75" customHeight="1" x14ac:dyDescent="0.2">
      <c r="E666" s="13"/>
      <c r="L666" s="13"/>
    </row>
    <row r="667" spans="5:12" ht="15.75" customHeight="1" x14ac:dyDescent="0.2">
      <c r="E667" s="13"/>
      <c r="L667" s="13"/>
    </row>
    <row r="668" spans="5:12" ht="15.75" customHeight="1" x14ac:dyDescent="0.2">
      <c r="E668" s="13"/>
      <c r="L668" s="13"/>
    </row>
    <row r="669" spans="5:12" ht="15.75" customHeight="1" x14ac:dyDescent="0.2">
      <c r="E669" s="13"/>
      <c r="L669" s="13"/>
    </row>
    <row r="670" spans="5:12" ht="15.75" customHeight="1" x14ac:dyDescent="0.2">
      <c r="E670" s="13"/>
      <c r="L670" s="13"/>
    </row>
    <row r="671" spans="5:12" ht="15.75" customHeight="1" x14ac:dyDescent="0.2">
      <c r="E671" s="13"/>
      <c r="L671" s="13"/>
    </row>
    <row r="672" spans="5:12" ht="15.75" customHeight="1" x14ac:dyDescent="0.2">
      <c r="E672" s="13"/>
      <c r="L672" s="13"/>
    </row>
    <row r="673" spans="5:12" ht="15.75" customHeight="1" x14ac:dyDescent="0.2">
      <c r="E673" s="13"/>
      <c r="L673" s="13"/>
    </row>
    <row r="674" spans="5:12" ht="15.75" customHeight="1" x14ac:dyDescent="0.2">
      <c r="E674" s="13"/>
      <c r="L674" s="13"/>
    </row>
    <row r="675" spans="5:12" ht="15.75" customHeight="1" x14ac:dyDescent="0.2">
      <c r="E675" s="13"/>
      <c r="L675" s="13"/>
    </row>
    <row r="676" spans="5:12" ht="15.75" customHeight="1" x14ac:dyDescent="0.2">
      <c r="E676" s="13"/>
      <c r="L676" s="13"/>
    </row>
    <row r="677" spans="5:12" ht="15.75" customHeight="1" x14ac:dyDescent="0.2">
      <c r="E677" s="13"/>
      <c r="L677" s="13"/>
    </row>
    <row r="678" spans="5:12" ht="15.75" customHeight="1" x14ac:dyDescent="0.2">
      <c r="E678" s="13"/>
      <c r="L678" s="13"/>
    </row>
    <row r="679" spans="5:12" ht="15.75" customHeight="1" x14ac:dyDescent="0.2">
      <c r="E679" s="13"/>
      <c r="L679" s="13"/>
    </row>
    <row r="680" spans="5:12" ht="15.75" customHeight="1" x14ac:dyDescent="0.2">
      <c r="E680" s="13"/>
      <c r="L680" s="13"/>
    </row>
    <row r="681" spans="5:12" ht="15.75" customHeight="1" x14ac:dyDescent="0.2">
      <c r="E681" s="13"/>
      <c r="L681" s="13"/>
    </row>
    <row r="682" spans="5:12" ht="15.75" customHeight="1" x14ac:dyDescent="0.2">
      <c r="E682" s="13"/>
      <c r="L682" s="13"/>
    </row>
    <row r="683" spans="5:12" ht="15.75" customHeight="1" x14ac:dyDescent="0.2">
      <c r="E683" s="13"/>
      <c r="L683" s="13"/>
    </row>
    <row r="684" spans="5:12" ht="15.75" customHeight="1" x14ac:dyDescent="0.2">
      <c r="E684" s="13"/>
      <c r="L684" s="13"/>
    </row>
    <row r="685" spans="5:12" ht="15.75" customHeight="1" x14ac:dyDescent="0.2">
      <c r="E685" s="13"/>
      <c r="L685" s="13"/>
    </row>
    <row r="686" spans="5:12" ht="15.75" customHeight="1" x14ac:dyDescent="0.2">
      <c r="E686" s="13"/>
      <c r="L686" s="13"/>
    </row>
    <row r="687" spans="5:12" ht="15.75" customHeight="1" x14ac:dyDescent="0.2">
      <c r="E687" s="13"/>
      <c r="L687" s="13"/>
    </row>
    <row r="688" spans="5:12" ht="15.75" customHeight="1" x14ac:dyDescent="0.2">
      <c r="E688" s="13"/>
      <c r="L688" s="13"/>
    </row>
    <row r="689" spans="5:12" ht="15.75" customHeight="1" x14ac:dyDescent="0.2">
      <c r="E689" s="13"/>
      <c r="L689" s="13"/>
    </row>
    <row r="690" spans="5:12" ht="15.75" customHeight="1" x14ac:dyDescent="0.2">
      <c r="E690" s="13"/>
      <c r="L690" s="13"/>
    </row>
    <row r="691" spans="5:12" ht="15.75" customHeight="1" x14ac:dyDescent="0.2">
      <c r="E691" s="13"/>
      <c r="L691" s="13"/>
    </row>
    <row r="692" spans="5:12" ht="15.75" customHeight="1" x14ac:dyDescent="0.2">
      <c r="E692" s="13"/>
      <c r="L692" s="13"/>
    </row>
    <row r="693" spans="5:12" ht="15.75" customHeight="1" x14ac:dyDescent="0.2">
      <c r="E693" s="13"/>
      <c r="L693" s="13"/>
    </row>
    <row r="694" spans="5:12" ht="15.75" customHeight="1" x14ac:dyDescent="0.2">
      <c r="E694" s="13"/>
      <c r="L694" s="13"/>
    </row>
    <row r="695" spans="5:12" ht="15.75" customHeight="1" x14ac:dyDescent="0.2">
      <c r="E695" s="13"/>
      <c r="L695" s="13"/>
    </row>
    <row r="696" spans="5:12" ht="15.75" customHeight="1" x14ac:dyDescent="0.2">
      <c r="E696" s="13"/>
      <c r="L696" s="13"/>
    </row>
    <row r="697" spans="5:12" ht="15.75" customHeight="1" x14ac:dyDescent="0.2">
      <c r="E697" s="13"/>
      <c r="L697" s="13"/>
    </row>
    <row r="698" spans="5:12" ht="15.75" customHeight="1" x14ac:dyDescent="0.2">
      <c r="E698" s="13"/>
      <c r="L698" s="13"/>
    </row>
    <row r="699" spans="5:12" ht="15.75" customHeight="1" x14ac:dyDescent="0.2">
      <c r="E699" s="13"/>
      <c r="L699" s="13"/>
    </row>
    <row r="700" spans="5:12" ht="15.75" customHeight="1" x14ac:dyDescent="0.2">
      <c r="E700" s="13"/>
      <c r="L700" s="13"/>
    </row>
    <row r="701" spans="5:12" ht="15.75" customHeight="1" x14ac:dyDescent="0.2">
      <c r="E701" s="13"/>
      <c r="L701" s="13"/>
    </row>
    <row r="702" spans="5:12" ht="15.75" customHeight="1" x14ac:dyDescent="0.2">
      <c r="E702" s="13"/>
      <c r="L702" s="13"/>
    </row>
    <row r="703" spans="5:12" ht="15.75" customHeight="1" x14ac:dyDescent="0.2">
      <c r="E703" s="13"/>
      <c r="L703" s="13"/>
    </row>
    <row r="704" spans="5:12" ht="15.75" customHeight="1" x14ac:dyDescent="0.2">
      <c r="E704" s="13"/>
      <c r="L704" s="13"/>
    </row>
    <row r="705" spans="5:12" ht="15.75" customHeight="1" x14ac:dyDescent="0.2">
      <c r="E705" s="13"/>
      <c r="L705" s="13"/>
    </row>
    <row r="706" spans="5:12" ht="15.75" customHeight="1" x14ac:dyDescent="0.2">
      <c r="E706" s="13"/>
      <c r="L706" s="13"/>
    </row>
    <row r="707" spans="5:12" ht="15.75" customHeight="1" x14ac:dyDescent="0.2">
      <c r="E707" s="13"/>
      <c r="L707" s="13"/>
    </row>
    <row r="708" spans="5:12" ht="15.75" customHeight="1" x14ac:dyDescent="0.2">
      <c r="E708" s="13"/>
      <c r="L708" s="13"/>
    </row>
    <row r="709" spans="5:12" ht="15.75" customHeight="1" x14ac:dyDescent="0.2">
      <c r="E709" s="13"/>
      <c r="L709" s="13"/>
    </row>
    <row r="710" spans="5:12" ht="15.75" customHeight="1" x14ac:dyDescent="0.2">
      <c r="E710" s="13"/>
      <c r="L710" s="13"/>
    </row>
    <row r="711" spans="5:12" ht="15.75" customHeight="1" x14ac:dyDescent="0.2">
      <c r="E711" s="13"/>
      <c r="L711" s="13"/>
    </row>
    <row r="712" spans="5:12" ht="15.75" customHeight="1" x14ac:dyDescent="0.2">
      <c r="E712" s="13"/>
      <c r="L712" s="13"/>
    </row>
    <row r="713" spans="5:12" ht="15.75" customHeight="1" x14ac:dyDescent="0.2">
      <c r="E713" s="13"/>
      <c r="L713" s="13"/>
    </row>
    <row r="714" spans="5:12" ht="15.75" customHeight="1" x14ac:dyDescent="0.2">
      <c r="E714" s="13"/>
      <c r="L714" s="13"/>
    </row>
    <row r="715" spans="5:12" ht="15.75" customHeight="1" x14ac:dyDescent="0.2">
      <c r="E715" s="13"/>
      <c r="L715" s="13"/>
    </row>
    <row r="716" spans="5:12" ht="15.75" customHeight="1" x14ac:dyDescent="0.2">
      <c r="E716" s="13"/>
      <c r="L716" s="13"/>
    </row>
    <row r="717" spans="5:12" ht="15.75" customHeight="1" x14ac:dyDescent="0.2">
      <c r="E717" s="13"/>
      <c r="L717" s="13"/>
    </row>
    <row r="718" spans="5:12" ht="15.75" customHeight="1" x14ac:dyDescent="0.2">
      <c r="E718" s="13"/>
      <c r="L718" s="13"/>
    </row>
    <row r="719" spans="5:12" ht="15.75" customHeight="1" x14ac:dyDescent="0.2">
      <c r="E719" s="13"/>
      <c r="L719" s="13"/>
    </row>
    <row r="720" spans="5:12" ht="15.75" customHeight="1" x14ac:dyDescent="0.2">
      <c r="E720" s="13"/>
      <c r="L720" s="13"/>
    </row>
    <row r="721" spans="5:12" ht="15.75" customHeight="1" x14ac:dyDescent="0.2">
      <c r="E721" s="13"/>
      <c r="L721" s="13"/>
    </row>
    <row r="722" spans="5:12" ht="15.75" customHeight="1" x14ac:dyDescent="0.2">
      <c r="E722" s="13"/>
      <c r="L722" s="13"/>
    </row>
    <row r="723" spans="5:12" ht="15.75" customHeight="1" x14ac:dyDescent="0.2">
      <c r="E723" s="13"/>
      <c r="L723" s="13"/>
    </row>
    <row r="724" spans="5:12" ht="15.75" customHeight="1" x14ac:dyDescent="0.2">
      <c r="E724" s="13"/>
      <c r="L724" s="13"/>
    </row>
    <row r="725" spans="5:12" ht="15.75" customHeight="1" x14ac:dyDescent="0.2">
      <c r="E725" s="13"/>
      <c r="L725" s="13"/>
    </row>
    <row r="726" spans="5:12" ht="15.75" customHeight="1" x14ac:dyDescent="0.2">
      <c r="E726" s="13"/>
      <c r="L726" s="13"/>
    </row>
    <row r="727" spans="5:12" ht="15.75" customHeight="1" x14ac:dyDescent="0.2">
      <c r="E727" s="13"/>
      <c r="L727" s="13"/>
    </row>
    <row r="728" spans="5:12" ht="15.75" customHeight="1" x14ac:dyDescent="0.2">
      <c r="E728" s="13"/>
      <c r="L728" s="13"/>
    </row>
    <row r="729" spans="5:12" ht="15.75" customHeight="1" x14ac:dyDescent="0.2">
      <c r="E729" s="13"/>
      <c r="L729" s="13"/>
    </row>
    <row r="730" spans="5:12" ht="15.75" customHeight="1" x14ac:dyDescent="0.2">
      <c r="E730" s="13"/>
      <c r="L730" s="13"/>
    </row>
    <row r="731" spans="5:12" ht="15.75" customHeight="1" x14ac:dyDescent="0.2">
      <c r="E731" s="13"/>
      <c r="L731" s="13"/>
    </row>
    <row r="732" spans="5:12" ht="15.75" customHeight="1" x14ac:dyDescent="0.2">
      <c r="E732" s="13"/>
      <c r="L732" s="13"/>
    </row>
    <row r="733" spans="5:12" ht="15.75" customHeight="1" x14ac:dyDescent="0.2">
      <c r="E733" s="13"/>
      <c r="L733" s="13"/>
    </row>
    <row r="734" spans="5:12" ht="15.75" customHeight="1" x14ac:dyDescent="0.2">
      <c r="E734" s="13"/>
      <c r="L734" s="13"/>
    </row>
    <row r="735" spans="5:12" ht="15.75" customHeight="1" x14ac:dyDescent="0.2">
      <c r="E735" s="13"/>
      <c r="L735" s="13"/>
    </row>
    <row r="736" spans="5:12" ht="15.75" customHeight="1" x14ac:dyDescent="0.2">
      <c r="E736" s="13"/>
      <c r="L736" s="13"/>
    </row>
    <row r="737" spans="5:12" ht="15.75" customHeight="1" x14ac:dyDescent="0.2">
      <c r="E737" s="13"/>
      <c r="L737" s="13"/>
    </row>
    <row r="738" spans="5:12" ht="15.75" customHeight="1" x14ac:dyDescent="0.2">
      <c r="E738" s="13"/>
      <c r="L738" s="13"/>
    </row>
    <row r="739" spans="5:12" ht="15.75" customHeight="1" x14ac:dyDescent="0.2">
      <c r="E739" s="13"/>
      <c r="L739" s="13"/>
    </row>
    <row r="740" spans="5:12" ht="15.75" customHeight="1" x14ac:dyDescent="0.2">
      <c r="E740" s="13"/>
      <c r="L740" s="13"/>
    </row>
    <row r="741" spans="5:12" ht="15.75" customHeight="1" x14ac:dyDescent="0.2">
      <c r="E741" s="13"/>
      <c r="L741" s="13"/>
    </row>
    <row r="742" spans="5:12" ht="15.75" customHeight="1" x14ac:dyDescent="0.2">
      <c r="E742" s="13"/>
      <c r="L742" s="13"/>
    </row>
    <row r="743" spans="5:12" ht="15.75" customHeight="1" x14ac:dyDescent="0.2">
      <c r="E743" s="13"/>
      <c r="L743" s="13"/>
    </row>
    <row r="744" spans="5:12" ht="15.75" customHeight="1" x14ac:dyDescent="0.2">
      <c r="E744" s="13"/>
      <c r="L744" s="13"/>
    </row>
    <row r="745" spans="5:12" ht="15.75" customHeight="1" x14ac:dyDescent="0.2">
      <c r="E745" s="13"/>
      <c r="L745" s="13"/>
    </row>
    <row r="746" spans="5:12" ht="15.75" customHeight="1" x14ac:dyDescent="0.2">
      <c r="E746" s="13"/>
      <c r="L746" s="13"/>
    </row>
    <row r="747" spans="5:12" ht="15.75" customHeight="1" x14ac:dyDescent="0.2">
      <c r="E747" s="13"/>
      <c r="L747" s="13"/>
    </row>
    <row r="748" spans="5:12" ht="15.75" customHeight="1" x14ac:dyDescent="0.2">
      <c r="E748" s="13"/>
      <c r="L748" s="13"/>
    </row>
    <row r="749" spans="5:12" ht="15.75" customHeight="1" x14ac:dyDescent="0.2">
      <c r="E749" s="13"/>
      <c r="L749" s="13"/>
    </row>
    <row r="750" spans="5:12" ht="15.75" customHeight="1" x14ac:dyDescent="0.2">
      <c r="E750" s="13"/>
      <c r="L750" s="13"/>
    </row>
    <row r="751" spans="5:12" ht="15.75" customHeight="1" x14ac:dyDescent="0.2">
      <c r="E751" s="13"/>
      <c r="L751" s="13"/>
    </row>
    <row r="752" spans="5:12" ht="15.75" customHeight="1" x14ac:dyDescent="0.2">
      <c r="E752" s="13"/>
      <c r="L752" s="13"/>
    </row>
    <row r="753" spans="5:12" ht="15.75" customHeight="1" x14ac:dyDescent="0.2">
      <c r="E753" s="13"/>
      <c r="L753" s="13"/>
    </row>
    <row r="754" spans="5:12" ht="15.75" customHeight="1" x14ac:dyDescent="0.2">
      <c r="E754" s="13"/>
      <c r="L754" s="13"/>
    </row>
    <row r="755" spans="5:12" ht="15.75" customHeight="1" x14ac:dyDescent="0.2">
      <c r="E755" s="13"/>
      <c r="L755" s="13"/>
    </row>
    <row r="756" spans="5:12" ht="15.75" customHeight="1" x14ac:dyDescent="0.2">
      <c r="E756" s="13"/>
      <c r="L756" s="13"/>
    </row>
    <row r="757" spans="5:12" ht="15.75" customHeight="1" x14ac:dyDescent="0.2">
      <c r="E757" s="13"/>
      <c r="L757" s="13"/>
    </row>
    <row r="758" spans="5:12" ht="15.75" customHeight="1" x14ac:dyDescent="0.2">
      <c r="E758" s="13"/>
      <c r="L758" s="13"/>
    </row>
    <row r="759" spans="5:12" ht="15.75" customHeight="1" x14ac:dyDescent="0.2">
      <c r="E759" s="13"/>
      <c r="L759" s="13"/>
    </row>
    <row r="760" spans="5:12" ht="15.75" customHeight="1" x14ac:dyDescent="0.2">
      <c r="E760" s="13"/>
      <c r="L760" s="13"/>
    </row>
    <row r="761" spans="5:12" ht="15.75" customHeight="1" x14ac:dyDescent="0.2">
      <c r="E761" s="13"/>
      <c r="L761" s="13"/>
    </row>
    <row r="762" spans="5:12" ht="15.75" customHeight="1" x14ac:dyDescent="0.2">
      <c r="E762" s="13"/>
      <c r="L762" s="13"/>
    </row>
    <row r="763" spans="5:12" ht="15.75" customHeight="1" x14ac:dyDescent="0.2">
      <c r="E763" s="13"/>
      <c r="L763" s="13"/>
    </row>
    <row r="764" spans="5:12" ht="15.75" customHeight="1" x14ac:dyDescent="0.2">
      <c r="E764" s="13"/>
      <c r="L764" s="13"/>
    </row>
    <row r="765" spans="5:12" ht="15.75" customHeight="1" x14ac:dyDescent="0.2">
      <c r="E765" s="13"/>
      <c r="L765" s="13"/>
    </row>
    <row r="766" spans="5:12" ht="15.75" customHeight="1" x14ac:dyDescent="0.2">
      <c r="E766" s="13"/>
      <c r="L766" s="13"/>
    </row>
    <row r="767" spans="5:12" ht="15.75" customHeight="1" x14ac:dyDescent="0.2">
      <c r="E767" s="13"/>
      <c r="L767" s="13"/>
    </row>
    <row r="768" spans="5:12" ht="15.75" customHeight="1" x14ac:dyDescent="0.2">
      <c r="E768" s="13"/>
      <c r="L768" s="13"/>
    </row>
    <row r="769" spans="5:12" ht="15.75" customHeight="1" x14ac:dyDescent="0.2">
      <c r="E769" s="13"/>
      <c r="L769" s="13"/>
    </row>
    <row r="770" spans="5:12" ht="15.75" customHeight="1" x14ac:dyDescent="0.2">
      <c r="E770" s="13"/>
      <c r="L770" s="13"/>
    </row>
    <row r="771" spans="5:12" ht="15.75" customHeight="1" x14ac:dyDescent="0.2">
      <c r="E771" s="13"/>
      <c r="L771" s="13"/>
    </row>
    <row r="772" spans="5:12" ht="15.75" customHeight="1" x14ac:dyDescent="0.2">
      <c r="E772" s="13"/>
      <c r="L772" s="13"/>
    </row>
    <row r="773" spans="5:12" ht="15.75" customHeight="1" x14ac:dyDescent="0.2">
      <c r="E773" s="13"/>
      <c r="L773" s="13"/>
    </row>
    <row r="774" spans="5:12" ht="15.75" customHeight="1" x14ac:dyDescent="0.2">
      <c r="E774" s="13"/>
      <c r="L774" s="13"/>
    </row>
    <row r="775" spans="5:12" ht="15.75" customHeight="1" x14ac:dyDescent="0.2">
      <c r="E775" s="13"/>
      <c r="L775" s="13"/>
    </row>
    <row r="776" spans="5:12" ht="15.75" customHeight="1" x14ac:dyDescent="0.2">
      <c r="E776" s="13"/>
      <c r="L776" s="13"/>
    </row>
    <row r="777" spans="5:12" ht="15.75" customHeight="1" x14ac:dyDescent="0.2">
      <c r="E777" s="13"/>
      <c r="L777" s="13"/>
    </row>
    <row r="778" spans="5:12" ht="15.75" customHeight="1" x14ac:dyDescent="0.2">
      <c r="E778" s="13"/>
      <c r="L778" s="13"/>
    </row>
    <row r="779" spans="5:12" ht="15.75" customHeight="1" x14ac:dyDescent="0.2">
      <c r="E779" s="13"/>
      <c r="L779" s="13"/>
    </row>
    <row r="780" spans="5:12" ht="15.75" customHeight="1" x14ac:dyDescent="0.2">
      <c r="E780" s="13"/>
      <c r="L780" s="13"/>
    </row>
    <row r="781" spans="5:12" ht="15.75" customHeight="1" x14ac:dyDescent="0.2">
      <c r="E781" s="13"/>
      <c r="L781" s="13"/>
    </row>
    <row r="782" spans="5:12" ht="15.75" customHeight="1" x14ac:dyDescent="0.2">
      <c r="E782" s="13"/>
      <c r="L782" s="13"/>
    </row>
    <row r="783" spans="5:12" ht="15.75" customHeight="1" x14ac:dyDescent="0.2">
      <c r="E783" s="13"/>
      <c r="L783" s="13"/>
    </row>
    <row r="784" spans="5:12" ht="15.75" customHeight="1" x14ac:dyDescent="0.2">
      <c r="E784" s="13"/>
      <c r="L784" s="13"/>
    </row>
    <row r="785" spans="5:12" ht="15.75" customHeight="1" x14ac:dyDescent="0.2">
      <c r="E785" s="13"/>
      <c r="L785" s="13"/>
    </row>
    <row r="786" spans="5:12" ht="15.75" customHeight="1" x14ac:dyDescent="0.2">
      <c r="E786" s="13"/>
      <c r="L786" s="13"/>
    </row>
    <row r="787" spans="5:12" ht="15.75" customHeight="1" x14ac:dyDescent="0.2">
      <c r="E787" s="13"/>
      <c r="L787" s="13"/>
    </row>
    <row r="788" spans="5:12" ht="15.75" customHeight="1" x14ac:dyDescent="0.2">
      <c r="E788" s="13"/>
      <c r="L788" s="13"/>
    </row>
    <row r="789" spans="5:12" ht="15.75" customHeight="1" x14ac:dyDescent="0.2">
      <c r="E789" s="13"/>
      <c r="L789" s="13"/>
    </row>
    <row r="790" spans="5:12" ht="15.75" customHeight="1" x14ac:dyDescent="0.2">
      <c r="E790" s="13"/>
      <c r="L790" s="13"/>
    </row>
    <row r="791" spans="5:12" ht="15.75" customHeight="1" x14ac:dyDescent="0.2">
      <c r="E791" s="13"/>
      <c r="L791" s="13"/>
    </row>
    <row r="792" spans="5:12" ht="15.75" customHeight="1" x14ac:dyDescent="0.2">
      <c r="E792" s="13"/>
      <c r="L792" s="13"/>
    </row>
    <row r="793" spans="5:12" ht="15.75" customHeight="1" x14ac:dyDescent="0.2">
      <c r="E793" s="13"/>
      <c r="L793" s="13"/>
    </row>
    <row r="794" spans="5:12" ht="15.75" customHeight="1" x14ac:dyDescent="0.2">
      <c r="E794" s="13"/>
      <c r="L794" s="13"/>
    </row>
    <row r="795" spans="5:12" ht="15.75" customHeight="1" x14ac:dyDescent="0.2">
      <c r="E795" s="13"/>
      <c r="L795" s="13"/>
    </row>
    <row r="796" spans="5:12" ht="15.75" customHeight="1" x14ac:dyDescent="0.2">
      <c r="E796" s="13"/>
      <c r="L796" s="13"/>
    </row>
    <row r="797" spans="5:12" ht="15.75" customHeight="1" x14ac:dyDescent="0.2">
      <c r="E797" s="13"/>
      <c r="L797" s="13"/>
    </row>
    <row r="798" spans="5:12" ht="15.75" customHeight="1" x14ac:dyDescent="0.2">
      <c r="E798" s="13"/>
      <c r="L798" s="13"/>
    </row>
    <row r="799" spans="5:12" ht="15.75" customHeight="1" x14ac:dyDescent="0.2">
      <c r="E799" s="13"/>
      <c r="L799" s="13"/>
    </row>
    <row r="800" spans="5:12" ht="15.75" customHeight="1" x14ac:dyDescent="0.2">
      <c r="E800" s="13"/>
      <c r="L800" s="13"/>
    </row>
    <row r="801" spans="5:12" ht="15.75" customHeight="1" x14ac:dyDescent="0.2">
      <c r="E801" s="13"/>
      <c r="L801" s="13"/>
    </row>
    <row r="802" spans="5:12" ht="15.75" customHeight="1" x14ac:dyDescent="0.2">
      <c r="E802" s="13"/>
      <c r="L802" s="13"/>
    </row>
    <row r="803" spans="5:12" ht="15.75" customHeight="1" x14ac:dyDescent="0.2">
      <c r="E803" s="13"/>
      <c r="L803" s="13"/>
    </row>
    <row r="804" spans="5:12" ht="15.75" customHeight="1" x14ac:dyDescent="0.2">
      <c r="E804" s="13"/>
      <c r="L804" s="13"/>
    </row>
    <row r="805" spans="5:12" ht="15.75" customHeight="1" x14ac:dyDescent="0.2">
      <c r="E805" s="13"/>
      <c r="L805" s="13"/>
    </row>
    <row r="806" spans="5:12" ht="15.75" customHeight="1" x14ac:dyDescent="0.2">
      <c r="E806" s="13"/>
      <c r="L806" s="13"/>
    </row>
    <row r="807" spans="5:12" ht="15.75" customHeight="1" x14ac:dyDescent="0.2">
      <c r="E807" s="13"/>
      <c r="L807" s="13"/>
    </row>
    <row r="808" spans="5:12" ht="15.75" customHeight="1" x14ac:dyDescent="0.2">
      <c r="E808" s="13"/>
      <c r="L808" s="13"/>
    </row>
    <row r="809" spans="5:12" ht="15.75" customHeight="1" x14ac:dyDescent="0.2">
      <c r="E809" s="13"/>
      <c r="L809" s="13"/>
    </row>
    <row r="810" spans="5:12" ht="15.75" customHeight="1" x14ac:dyDescent="0.2">
      <c r="E810" s="13"/>
      <c r="L810" s="13"/>
    </row>
    <row r="811" spans="5:12" ht="15.75" customHeight="1" x14ac:dyDescent="0.2">
      <c r="E811" s="13"/>
      <c r="L811" s="13"/>
    </row>
    <row r="812" spans="5:12" ht="15.75" customHeight="1" x14ac:dyDescent="0.2">
      <c r="E812" s="13"/>
      <c r="L812" s="13"/>
    </row>
    <row r="813" spans="5:12" ht="15.75" customHeight="1" x14ac:dyDescent="0.2">
      <c r="E813" s="13"/>
      <c r="L813" s="13"/>
    </row>
    <row r="814" spans="5:12" ht="15.75" customHeight="1" x14ac:dyDescent="0.2">
      <c r="E814" s="13"/>
      <c r="L814" s="13"/>
    </row>
    <row r="815" spans="5:12" ht="15.75" customHeight="1" x14ac:dyDescent="0.2">
      <c r="E815" s="13"/>
      <c r="L815" s="13"/>
    </row>
    <row r="816" spans="5:12" ht="15.75" customHeight="1" x14ac:dyDescent="0.2">
      <c r="E816" s="13"/>
      <c r="L816" s="13"/>
    </row>
    <row r="817" spans="5:12" ht="15.75" customHeight="1" x14ac:dyDescent="0.2">
      <c r="E817" s="13"/>
      <c r="L817" s="13"/>
    </row>
    <row r="818" spans="5:12" ht="15.75" customHeight="1" x14ac:dyDescent="0.2">
      <c r="E818" s="13"/>
      <c r="L818" s="13"/>
    </row>
    <row r="819" spans="5:12" ht="15.75" customHeight="1" x14ac:dyDescent="0.2">
      <c r="E819" s="13"/>
      <c r="L819" s="13"/>
    </row>
    <row r="820" spans="5:12" ht="15.75" customHeight="1" x14ac:dyDescent="0.2">
      <c r="E820" s="13"/>
      <c r="L820" s="13"/>
    </row>
    <row r="821" spans="5:12" ht="15.75" customHeight="1" x14ac:dyDescent="0.2">
      <c r="E821" s="13"/>
      <c r="L821" s="13"/>
    </row>
    <row r="822" spans="5:12" ht="15.75" customHeight="1" x14ac:dyDescent="0.2">
      <c r="E822" s="13"/>
      <c r="L822" s="13"/>
    </row>
    <row r="823" spans="5:12" ht="15.75" customHeight="1" x14ac:dyDescent="0.2">
      <c r="E823" s="13"/>
      <c r="L823" s="13"/>
    </row>
    <row r="824" spans="5:12" ht="15.75" customHeight="1" x14ac:dyDescent="0.2">
      <c r="E824" s="13"/>
      <c r="L824" s="13"/>
    </row>
    <row r="825" spans="5:12" ht="15.75" customHeight="1" x14ac:dyDescent="0.2">
      <c r="E825" s="13"/>
      <c r="L825" s="13"/>
    </row>
    <row r="826" spans="5:12" ht="15.75" customHeight="1" x14ac:dyDescent="0.2">
      <c r="E826" s="13"/>
      <c r="L826" s="13"/>
    </row>
    <row r="827" spans="5:12" ht="15.75" customHeight="1" x14ac:dyDescent="0.2">
      <c r="E827" s="13"/>
      <c r="L827" s="13"/>
    </row>
    <row r="828" spans="5:12" ht="15.75" customHeight="1" x14ac:dyDescent="0.2">
      <c r="E828" s="13"/>
      <c r="L828" s="13"/>
    </row>
    <row r="829" spans="5:12" ht="15.75" customHeight="1" x14ac:dyDescent="0.2">
      <c r="E829" s="13"/>
      <c r="L829" s="13"/>
    </row>
    <row r="830" spans="5:12" ht="15.75" customHeight="1" x14ac:dyDescent="0.2">
      <c r="E830" s="13"/>
      <c r="L830" s="13"/>
    </row>
    <row r="831" spans="5:12" ht="15.75" customHeight="1" x14ac:dyDescent="0.2">
      <c r="E831" s="13"/>
      <c r="L831" s="13"/>
    </row>
    <row r="832" spans="5:12" ht="15.75" customHeight="1" x14ac:dyDescent="0.2">
      <c r="E832" s="13"/>
      <c r="L832" s="13"/>
    </row>
    <row r="833" spans="5:12" ht="15.75" customHeight="1" x14ac:dyDescent="0.2">
      <c r="E833" s="13"/>
      <c r="L833" s="13"/>
    </row>
    <row r="834" spans="5:12" ht="15.75" customHeight="1" x14ac:dyDescent="0.2">
      <c r="E834" s="13"/>
      <c r="L834" s="13"/>
    </row>
    <row r="835" spans="5:12" ht="15.75" customHeight="1" x14ac:dyDescent="0.2">
      <c r="E835" s="13"/>
      <c r="L835" s="13"/>
    </row>
    <row r="836" spans="5:12" ht="15.75" customHeight="1" x14ac:dyDescent="0.2">
      <c r="E836" s="13"/>
      <c r="L836" s="13"/>
    </row>
    <row r="837" spans="5:12" ht="15.75" customHeight="1" x14ac:dyDescent="0.2">
      <c r="E837" s="13"/>
      <c r="L837" s="13"/>
    </row>
    <row r="838" spans="5:12" ht="15.75" customHeight="1" x14ac:dyDescent="0.2">
      <c r="E838" s="13"/>
      <c r="L838" s="13"/>
    </row>
    <row r="839" spans="5:12" ht="15.75" customHeight="1" x14ac:dyDescent="0.2">
      <c r="E839" s="13"/>
      <c r="L839" s="13"/>
    </row>
    <row r="840" spans="5:12" ht="15.75" customHeight="1" x14ac:dyDescent="0.2">
      <c r="E840" s="13"/>
      <c r="L840" s="13"/>
    </row>
    <row r="841" spans="5:12" ht="15.75" customHeight="1" x14ac:dyDescent="0.2">
      <c r="E841" s="13"/>
      <c r="L841" s="13"/>
    </row>
    <row r="842" spans="5:12" ht="15.75" customHeight="1" x14ac:dyDescent="0.2">
      <c r="E842" s="13"/>
      <c r="L842" s="13"/>
    </row>
    <row r="843" spans="5:12" ht="15.75" customHeight="1" x14ac:dyDescent="0.2">
      <c r="E843" s="13"/>
      <c r="L843" s="13"/>
    </row>
    <row r="844" spans="5:12" ht="15.75" customHeight="1" x14ac:dyDescent="0.2">
      <c r="E844" s="13"/>
      <c r="L844" s="13"/>
    </row>
    <row r="845" spans="5:12" ht="15.75" customHeight="1" x14ac:dyDescent="0.2">
      <c r="E845" s="13"/>
      <c r="L845" s="13"/>
    </row>
    <row r="846" spans="5:12" ht="15.75" customHeight="1" x14ac:dyDescent="0.2">
      <c r="E846" s="13"/>
      <c r="L846" s="13"/>
    </row>
    <row r="847" spans="5:12" ht="15.75" customHeight="1" x14ac:dyDescent="0.2">
      <c r="E847" s="13"/>
      <c r="L847" s="13"/>
    </row>
    <row r="848" spans="5:12" ht="15.75" customHeight="1" x14ac:dyDescent="0.2">
      <c r="E848" s="13"/>
      <c r="L848" s="13"/>
    </row>
    <row r="849" spans="5:12" ht="15.75" customHeight="1" x14ac:dyDescent="0.2">
      <c r="E849" s="13"/>
      <c r="L849" s="13"/>
    </row>
    <row r="850" spans="5:12" ht="15.75" customHeight="1" x14ac:dyDescent="0.2">
      <c r="E850" s="13"/>
      <c r="L850" s="13"/>
    </row>
    <row r="851" spans="5:12" ht="15.75" customHeight="1" x14ac:dyDescent="0.2">
      <c r="E851" s="13"/>
      <c r="L851" s="13"/>
    </row>
    <row r="852" spans="5:12" ht="15.75" customHeight="1" x14ac:dyDescent="0.2">
      <c r="E852" s="13"/>
      <c r="L852" s="13"/>
    </row>
    <row r="853" spans="5:12" ht="15.75" customHeight="1" x14ac:dyDescent="0.2">
      <c r="E853" s="13"/>
      <c r="L853" s="13"/>
    </row>
    <row r="854" spans="5:12" ht="15.75" customHeight="1" x14ac:dyDescent="0.2">
      <c r="E854" s="13"/>
      <c r="L854" s="13"/>
    </row>
    <row r="855" spans="5:12" ht="15.75" customHeight="1" x14ac:dyDescent="0.2">
      <c r="E855" s="13"/>
      <c r="L855" s="13"/>
    </row>
    <row r="856" spans="5:12" ht="15.75" customHeight="1" x14ac:dyDescent="0.2">
      <c r="E856" s="13"/>
      <c r="L856" s="13"/>
    </row>
    <row r="857" spans="5:12" ht="15.75" customHeight="1" x14ac:dyDescent="0.2">
      <c r="E857" s="13"/>
      <c r="L857" s="13"/>
    </row>
    <row r="858" spans="5:12" ht="15.75" customHeight="1" x14ac:dyDescent="0.2">
      <c r="E858" s="13"/>
      <c r="L858" s="13"/>
    </row>
    <row r="859" spans="5:12" ht="15.75" customHeight="1" x14ac:dyDescent="0.2">
      <c r="E859" s="13"/>
      <c r="L859" s="13"/>
    </row>
    <row r="860" spans="5:12" ht="15.75" customHeight="1" x14ac:dyDescent="0.2">
      <c r="E860" s="13"/>
      <c r="L860" s="13"/>
    </row>
    <row r="861" spans="5:12" ht="15.75" customHeight="1" x14ac:dyDescent="0.2">
      <c r="E861" s="13"/>
      <c r="L861" s="13"/>
    </row>
    <row r="862" spans="5:12" ht="15.75" customHeight="1" x14ac:dyDescent="0.2">
      <c r="E862" s="13"/>
      <c r="L862" s="13"/>
    </row>
    <row r="863" spans="5:12" ht="15.75" customHeight="1" x14ac:dyDescent="0.2">
      <c r="E863" s="13"/>
      <c r="L863" s="13"/>
    </row>
    <row r="864" spans="5:12" ht="15.75" customHeight="1" x14ac:dyDescent="0.2">
      <c r="E864" s="13"/>
      <c r="L864" s="13"/>
    </row>
    <row r="865" spans="5:12" ht="15.75" customHeight="1" x14ac:dyDescent="0.2">
      <c r="E865" s="13"/>
      <c r="L865" s="13"/>
    </row>
    <row r="866" spans="5:12" ht="15.75" customHeight="1" x14ac:dyDescent="0.2">
      <c r="E866" s="13"/>
      <c r="L866" s="13"/>
    </row>
    <row r="867" spans="5:12" ht="15.75" customHeight="1" x14ac:dyDescent="0.2">
      <c r="E867" s="13"/>
      <c r="L867" s="13"/>
    </row>
    <row r="868" spans="5:12" ht="15.75" customHeight="1" x14ac:dyDescent="0.2">
      <c r="E868" s="13"/>
      <c r="L868" s="13"/>
    </row>
    <row r="869" spans="5:12" ht="15.75" customHeight="1" x14ac:dyDescent="0.2">
      <c r="E869" s="13"/>
      <c r="L869" s="13"/>
    </row>
    <row r="870" spans="5:12" ht="15.75" customHeight="1" x14ac:dyDescent="0.2">
      <c r="E870" s="13"/>
      <c r="L870" s="13"/>
    </row>
    <row r="871" spans="5:12" ht="15.75" customHeight="1" x14ac:dyDescent="0.2">
      <c r="E871" s="13"/>
      <c r="L871" s="13"/>
    </row>
    <row r="872" spans="5:12" ht="15.75" customHeight="1" x14ac:dyDescent="0.2">
      <c r="E872" s="13"/>
      <c r="L872" s="13"/>
    </row>
    <row r="873" spans="5:12" ht="15.75" customHeight="1" x14ac:dyDescent="0.2">
      <c r="E873" s="13"/>
      <c r="L873" s="13"/>
    </row>
    <row r="874" spans="5:12" ht="15.75" customHeight="1" x14ac:dyDescent="0.2">
      <c r="E874" s="13"/>
      <c r="L874" s="13"/>
    </row>
    <row r="875" spans="5:12" ht="15.75" customHeight="1" x14ac:dyDescent="0.2">
      <c r="E875" s="13"/>
      <c r="L875" s="13"/>
    </row>
    <row r="876" spans="5:12" ht="15.75" customHeight="1" x14ac:dyDescent="0.2">
      <c r="E876" s="13"/>
      <c r="L876" s="13"/>
    </row>
    <row r="877" spans="5:12" ht="15.75" customHeight="1" x14ac:dyDescent="0.2">
      <c r="E877" s="13"/>
      <c r="L877" s="13"/>
    </row>
    <row r="878" spans="5:12" ht="15.75" customHeight="1" x14ac:dyDescent="0.2">
      <c r="E878" s="13"/>
      <c r="L878" s="13"/>
    </row>
    <row r="879" spans="5:12" ht="15.75" customHeight="1" x14ac:dyDescent="0.2">
      <c r="E879" s="13"/>
      <c r="L879" s="13"/>
    </row>
    <row r="880" spans="5:12" ht="15.75" customHeight="1" x14ac:dyDescent="0.2">
      <c r="E880" s="13"/>
      <c r="L880" s="13"/>
    </row>
    <row r="881" spans="5:12" ht="15.75" customHeight="1" x14ac:dyDescent="0.2">
      <c r="E881" s="13"/>
      <c r="L881" s="13"/>
    </row>
    <row r="882" spans="5:12" ht="15.75" customHeight="1" x14ac:dyDescent="0.2">
      <c r="E882" s="13"/>
      <c r="L882" s="13"/>
    </row>
    <row r="883" spans="5:12" ht="15.75" customHeight="1" x14ac:dyDescent="0.2">
      <c r="E883" s="13"/>
      <c r="L883" s="13"/>
    </row>
    <row r="884" spans="5:12" ht="15.75" customHeight="1" x14ac:dyDescent="0.2">
      <c r="E884" s="13"/>
      <c r="L884" s="13"/>
    </row>
    <row r="885" spans="5:12" ht="15.75" customHeight="1" x14ac:dyDescent="0.2">
      <c r="E885" s="13"/>
      <c r="L885" s="13"/>
    </row>
    <row r="886" spans="5:12" ht="15.75" customHeight="1" x14ac:dyDescent="0.2">
      <c r="E886" s="13"/>
      <c r="L886" s="13"/>
    </row>
    <row r="887" spans="5:12" ht="15.75" customHeight="1" x14ac:dyDescent="0.2">
      <c r="E887" s="13"/>
      <c r="L887" s="13"/>
    </row>
    <row r="888" spans="5:12" ht="15.75" customHeight="1" x14ac:dyDescent="0.2">
      <c r="E888" s="13"/>
      <c r="L888" s="13"/>
    </row>
    <row r="889" spans="5:12" ht="15.75" customHeight="1" x14ac:dyDescent="0.2">
      <c r="E889" s="13"/>
      <c r="L889" s="13"/>
    </row>
    <row r="890" spans="5:12" ht="15.75" customHeight="1" x14ac:dyDescent="0.2">
      <c r="E890" s="13"/>
      <c r="L890" s="13"/>
    </row>
    <row r="891" spans="5:12" ht="15.75" customHeight="1" x14ac:dyDescent="0.2">
      <c r="E891" s="13"/>
      <c r="L891" s="13"/>
    </row>
    <row r="892" spans="5:12" ht="15.75" customHeight="1" x14ac:dyDescent="0.2">
      <c r="E892" s="13"/>
      <c r="L892" s="13"/>
    </row>
    <row r="893" spans="5:12" ht="15.75" customHeight="1" x14ac:dyDescent="0.2">
      <c r="E893" s="13"/>
      <c r="L893" s="13"/>
    </row>
    <row r="894" spans="5:12" ht="15.75" customHeight="1" x14ac:dyDescent="0.2">
      <c r="E894" s="13"/>
      <c r="L894" s="13"/>
    </row>
    <row r="895" spans="5:12" ht="15.75" customHeight="1" x14ac:dyDescent="0.2">
      <c r="E895" s="13"/>
      <c r="L895" s="13"/>
    </row>
    <row r="896" spans="5:12" ht="15.75" customHeight="1" x14ac:dyDescent="0.2">
      <c r="E896" s="13"/>
      <c r="L896" s="13"/>
    </row>
    <row r="897" spans="5:12" ht="15.75" customHeight="1" x14ac:dyDescent="0.2">
      <c r="E897" s="13"/>
      <c r="L897" s="13"/>
    </row>
    <row r="898" spans="5:12" ht="15.75" customHeight="1" x14ac:dyDescent="0.2">
      <c r="E898" s="13"/>
      <c r="L898" s="13"/>
    </row>
    <row r="899" spans="5:12" ht="15.75" customHeight="1" x14ac:dyDescent="0.2">
      <c r="E899" s="13"/>
      <c r="L899" s="13"/>
    </row>
    <row r="900" spans="5:12" ht="15.75" customHeight="1" x14ac:dyDescent="0.2">
      <c r="E900" s="13"/>
      <c r="L900" s="13"/>
    </row>
    <row r="901" spans="5:12" ht="15.75" customHeight="1" x14ac:dyDescent="0.2">
      <c r="E901" s="13"/>
      <c r="L901" s="13"/>
    </row>
    <row r="902" spans="5:12" ht="15.75" customHeight="1" x14ac:dyDescent="0.2">
      <c r="E902" s="13"/>
      <c r="L902" s="13"/>
    </row>
    <row r="903" spans="5:12" ht="15.75" customHeight="1" x14ac:dyDescent="0.2">
      <c r="E903" s="13"/>
      <c r="L903" s="13"/>
    </row>
    <row r="904" spans="5:12" ht="15.75" customHeight="1" x14ac:dyDescent="0.2">
      <c r="E904" s="13"/>
      <c r="L904" s="13"/>
    </row>
    <row r="905" spans="5:12" ht="15.75" customHeight="1" x14ac:dyDescent="0.2">
      <c r="E905" s="13"/>
      <c r="L905" s="13"/>
    </row>
    <row r="906" spans="5:12" ht="15.75" customHeight="1" x14ac:dyDescent="0.2">
      <c r="E906" s="13"/>
      <c r="L906" s="13"/>
    </row>
    <row r="907" spans="5:12" ht="15.75" customHeight="1" x14ac:dyDescent="0.2">
      <c r="E907" s="13"/>
      <c r="L907" s="13"/>
    </row>
    <row r="908" spans="5:12" ht="15.75" customHeight="1" x14ac:dyDescent="0.2">
      <c r="E908" s="13"/>
      <c r="L908" s="13"/>
    </row>
    <row r="909" spans="5:12" ht="15.75" customHeight="1" x14ac:dyDescent="0.2">
      <c r="E909" s="13"/>
      <c r="L909" s="13"/>
    </row>
    <row r="910" spans="5:12" ht="15.75" customHeight="1" x14ac:dyDescent="0.2">
      <c r="E910" s="13"/>
      <c r="L910" s="13"/>
    </row>
    <row r="911" spans="5:12" ht="15.75" customHeight="1" x14ac:dyDescent="0.2">
      <c r="E911" s="13"/>
      <c r="L911" s="13"/>
    </row>
    <row r="912" spans="5:12" ht="15.75" customHeight="1" x14ac:dyDescent="0.2">
      <c r="E912" s="13"/>
      <c r="L912" s="13"/>
    </row>
    <row r="913" spans="5:12" ht="15.75" customHeight="1" x14ac:dyDescent="0.2">
      <c r="E913" s="13"/>
      <c r="L913" s="13"/>
    </row>
    <row r="914" spans="5:12" ht="15.75" customHeight="1" x14ac:dyDescent="0.2">
      <c r="E914" s="13"/>
      <c r="L914" s="13"/>
    </row>
    <row r="915" spans="5:12" ht="15.75" customHeight="1" x14ac:dyDescent="0.2">
      <c r="E915" s="13"/>
      <c r="L915" s="13"/>
    </row>
    <row r="916" spans="5:12" ht="15.75" customHeight="1" x14ac:dyDescent="0.2">
      <c r="E916" s="13"/>
      <c r="L916" s="13"/>
    </row>
    <row r="917" spans="5:12" ht="15.75" customHeight="1" x14ac:dyDescent="0.2">
      <c r="E917" s="13"/>
      <c r="L917" s="13"/>
    </row>
    <row r="918" spans="5:12" ht="15.75" customHeight="1" x14ac:dyDescent="0.2">
      <c r="E918" s="13"/>
      <c r="L918" s="13"/>
    </row>
    <row r="919" spans="5:12" ht="15.75" customHeight="1" x14ac:dyDescent="0.2">
      <c r="E919" s="13"/>
      <c r="L919" s="13"/>
    </row>
    <row r="920" spans="5:12" ht="15.75" customHeight="1" x14ac:dyDescent="0.2">
      <c r="E920" s="13"/>
      <c r="L920" s="13"/>
    </row>
    <row r="921" spans="5:12" ht="15.75" customHeight="1" x14ac:dyDescent="0.2">
      <c r="E921" s="13"/>
      <c r="L921" s="13"/>
    </row>
    <row r="922" spans="5:12" ht="15.75" customHeight="1" x14ac:dyDescent="0.2">
      <c r="E922" s="13"/>
      <c r="L922" s="13"/>
    </row>
    <row r="923" spans="5:12" ht="15.75" customHeight="1" x14ac:dyDescent="0.2">
      <c r="E923" s="13"/>
      <c r="L923" s="13"/>
    </row>
    <row r="924" spans="5:12" ht="15.75" customHeight="1" x14ac:dyDescent="0.2">
      <c r="E924" s="13"/>
      <c r="L924" s="13"/>
    </row>
    <row r="925" spans="5:12" ht="15.75" customHeight="1" x14ac:dyDescent="0.2">
      <c r="E925" s="13"/>
      <c r="L925" s="13"/>
    </row>
    <row r="926" spans="5:12" ht="15.75" customHeight="1" x14ac:dyDescent="0.2">
      <c r="E926" s="13"/>
      <c r="L926" s="13"/>
    </row>
    <row r="927" spans="5:12" ht="15.75" customHeight="1" x14ac:dyDescent="0.2">
      <c r="E927" s="13"/>
      <c r="L927" s="13"/>
    </row>
    <row r="928" spans="5:12" ht="15.75" customHeight="1" x14ac:dyDescent="0.2">
      <c r="E928" s="13"/>
      <c r="L928" s="13"/>
    </row>
    <row r="929" spans="5:12" ht="15.75" customHeight="1" x14ac:dyDescent="0.2">
      <c r="E929" s="13"/>
      <c r="L929" s="13"/>
    </row>
    <row r="930" spans="5:12" ht="15.75" customHeight="1" x14ac:dyDescent="0.2">
      <c r="E930" s="13"/>
      <c r="L930" s="13"/>
    </row>
    <row r="931" spans="5:12" ht="15.75" customHeight="1" x14ac:dyDescent="0.2">
      <c r="E931" s="13"/>
      <c r="L931" s="13"/>
    </row>
    <row r="932" spans="5:12" ht="15.75" customHeight="1" x14ac:dyDescent="0.2">
      <c r="E932" s="13"/>
      <c r="L932" s="13"/>
    </row>
    <row r="933" spans="5:12" ht="15.75" customHeight="1" x14ac:dyDescent="0.2">
      <c r="E933" s="13"/>
      <c r="L933" s="13"/>
    </row>
    <row r="934" spans="5:12" ht="15.75" customHeight="1" x14ac:dyDescent="0.2">
      <c r="E934" s="13"/>
      <c r="L934" s="13"/>
    </row>
    <row r="935" spans="5:12" ht="15.75" customHeight="1" x14ac:dyDescent="0.2">
      <c r="E935" s="13"/>
      <c r="L935" s="13"/>
    </row>
    <row r="936" spans="5:12" ht="15.75" customHeight="1" x14ac:dyDescent="0.2">
      <c r="E936" s="13"/>
      <c r="L936" s="13"/>
    </row>
    <row r="937" spans="5:12" ht="15.75" customHeight="1" x14ac:dyDescent="0.2">
      <c r="E937" s="13"/>
      <c r="L937" s="13"/>
    </row>
    <row r="938" spans="5:12" ht="15.75" customHeight="1" x14ac:dyDescent="0.2">
      <c r="E938" s="13"/>
      <c r="L938" s="13"/>
    </row>
    <row r="939" spans="5:12" ht="15.75" customHeight="1" x14ac:dyDescent="0.2">
      <c r="E939" s="13"/>
      <c r="L939" s="13"/>
    </row>
    <row r="940" spans="5:12" ht="15.75" customHeight="1" x14ac:dyDescent="0.2">
      <c r="E940" s="13"/>
      <c r="L940" s="13"/>
    </row>
    <row r="941" spans="5:12" ht="15.75" customHeight="1" x14ac:dyDescent="0.2">
      <c r="E941" s="13"/>
      <c r="L941" s="13"/>
    </row>
    <row r="942" spans="5:12" ht="15.75" customHeight="1" x14ac:dyDescent="0.2">
      <c r="E942" s="13"/>
      <c r="L942" s="13"/>
    </row>
    <row r="943" spans="5:12" ht="15.75" customHeight="1" x14ac:dyDescent="0.2">
      <c r="E943" s="13"/>
      <c r="L943" s="13"/>
    </row>
    <row r="944" spans="5:12" ht="15.75" customHeight="1" x14ac:dyDescent="0.2">
      <c r="E944" s="13"/>
      <c r="L944" s="13"/>
    </row>
    <row r="945" spans="5:12" ht="15.75" customHeight="1" x14ac:dyDescent="0.2">
      <c r="E945" s="13"/>
      <c r="L945" s="13"/>
    </row>
    <row r="946" spans="5:12" ht="15.75" customHeight="1" x14ac:dyDescent="0.2">
      <c r="E946" s="13"/>
      <c r="L946" s="13"/>
    </row>
    <row r="947" spans="5:12" ht="15.75" customHeight="1" x14ac:dyDescent="0.2">
      <c r="E947" s="13"/>
      <c r="L947" s="13"/>
    </row>
    <row r="948" spans="5:12" ht="15.75" customHeight="1" x14ac:dyDescent="0.2">
      <c r="E948" s="13"/>
      <c r="L948" s="13"/>
    </row>
    <row r="949" spans="5:12" ht="15.75" customHeight="1" x14ac:dyDescent="0.2">
      <c r="E949" s="13"/>
      <c r="L949" s="13"/>
    </row>
    <row r="950" spans="5:12" ht="15.75" customHeight="1" x14ac:dyDescent="0.2">
      <c r="E950" s="13"/>
      <c r="L950" s="13"/>
    </row>
    <row r="951" spans="5:12" ht="15.75" customHeight="1" x14ac:dyDescent="0.2">
      <c r="E951" s="13"/>
      <c r="L951" s="13"/>
    </row>
    <row r="952" spans="5:12" ht="15.75" customHeight="1" x14ac:dyDescent="0.2">
      <c r="E952" s="13"/>
      <c r="L952" s="13"/>
    </row>
    <row r="953" spans="5:12" ht="15.75" customHeight="1" x14ac:dyDescent="0.2">
      <c r="E953" s="13"/>
      <c r="L953" s="13"/>
    </row>
    <row r="954" spans="5:12" ht="15.75" customHeight="1" x14ac:dyDescent="0.2">
      <c r="E954" s="13"/>
      <c r="L954" s="13"/>
    </row>
    <row r="955" spans="5:12" ht="15.75" customHeight="1" x14ac:dyDescent="0.2">
      <c r="E955" s="13"/>
      <c r="L955" s="13"/>
    </row>
    <row r="956" spans="5:12" ht="15.75" customHeight="1" x14ac:dyDescent="0.2">
      <c r="E956" s="13"/>
      <c r="L956" s="13"/>
    </row>
    <row r="957" spans="5:12" ht="15.75" customHeight="1" x14ac:dyDescent="0.2">
      <c r="E957" s="13"/>
      <c r="L957" s="13"/>
    </row>
    <row r="958" spans="5:12" ht="15.75" customHeight="1" x14ac:dyDescent="0.2">
      <c r="E958" s="13"/>
      <c r="L958" s="13"/>
    </row>
    <row r="959" spans="5:12" ht="15.75" customHeight="1" x14ac:dyDescent="0.2">
      <c r="E959" s="13"/>
      <c r="L959" s="13"/>
    </row>
    <row r="960" spans="5:12" ht="15.75" customHeight="1" x14ac:dyDescent="0.2">
      <c r="E960" s="13"/>
      <c r="L960" s="13"/>
    </row>
    <row r="961" spans="5:12" ht="15.75" customHeight="1" x14ac:dyDescent="0.2">
      <c r="E961" s="13"/>
      <c r="L961" s="13"/>
    </row>
    <row r="962" spans="5:12" ht="15.75" customHeight="1" x14ac:dyDescent="0.2">
      <c r="E962" s="13"/>
      <c r="L962" s="13"/>
    </row>
    <row r="963" spans="5:12" ht="15.75" customHeight="1" x14ac:dyDescent="0.2">
      <c r="E963" s="13"/>
      <c r="L963" s="13"/>
    </row>
    <row r="964" spans="5:12" ht="15.75" customHeight="1" x14ac:dyDescent="0.2">
      <c r="E964" s="13"/>
      <c r="L964" s="13"/>
    </row>
    <row r="965" spans="5:12" ht="15.75" customHeight="1" x14ac:dyDescent="0.2">
      <c r="E965" s="13"/>
      <c r="L965" s="13"/>
    </row>
    <row r="966" spans="5:12" ht="15.75" customHeight="1" x14ac:dyDescent="0.2">
      <c r="E966" s="13"/>
      <c r="L966" s="13"/>
    </row>
    <row r="967" spans="5:12" ht="15.75" customHeight="1" x14ac:dyDescent="0.2">
      <c r="E967" s="13"/>
      <c r="L967" s="13"/>
    </row>
    <row r="968" spans="5:12" ht="15.75" customHeight="1" x14ac:dyDescent="0.2">
      <c r="E968" s="13"/>
      <c r="L968" s="13"/>
    </row>
    <row r="969" spans="5:12" ht="15.75" customHeight="1" x14ac:dyDescent="0.2">
      <c r="E969" s="13"/>
      <c r="L969" s="13"/>
    </row>
    <row r="970" spans="5:12" ht="15.75" customHeight="1" x14ac:dyDescent="0.2">
      <c r="E970" s="13"/>
      <c r="L970" s="13"/>
    </row>
    <row r="971" spans="5:12" ht="15.75" customHeight="1" x14ac:dyDescent="0.2">
      <c r="E971" s="13"/>
      <c r="L971" s="13"/>
    </row>
    <row r="972" spans="5:12" ht="15.75" customHeight="1" x14ac:dyDescent="0.2">
      <c r="E972" s="13"/>
      <c r="L972" s="13"/>
    </row>
    <row r="973" spans="5:12" ht="15.75" customHeight="1" x14ac:dyDescent="0.2">
      <c r="E973" s="13"/>
      <c r="L973" s="13"/>
    </row>
    <row r="974" spans="5:12" ht="15.75" customHeight="1" x14ac:dyDescent="0.2">
      <c r="E974" s="13"/>
      <c r="L974" s="13"/>
    </row>
    <row r="975" spans="5:12" ht="15.75" customHeight="1" x14ac:dyDescent="0.2">
      <c r="E975" s="13"/>
      <c r="L975" s="13"/>
    </row>
    <row r="976" spans="5:12" ht="15.75" customHeight="1" x14ac:dyDescent="0.2">
      <c r="E976" s="13"/>
      <c r="L976" s="13"/>
    </row>
    <row r="977" spans="5:12" ht="15.75" customHeight="1" x14ac:dyDescent="0.2">
      <c r="E977" s="13"/>
      <c r="L977" s="13"/>
    </row>
    <row r="978" spans="5:12" ht="15.75" customHeight="1" x14ac:dyDescent="0.2">
      <c r="E978" s="13"/>
      <c r="L978" s="13"/>
    </row>
    <row r="979" spans="5:12" ht="15.75" customHeight="1" x14ac:dyDescent="0.2">
      <c r="E979" s="13"/>
      <c r="L979" s="13"/>
    </row>
    <row r="980" spans="5:12" ht="15.75" customHeight="1" x14ac:dyDescent="0.2">
      <c r="E980" s="13"/>
      <c r="L980" s="13"/>
    </row>
    <row r="981" spans="5:12" ht="15.75" customHeight="1" x14ac:dyDescent="0.2">
      <c r="E981" s="13"/>
      <c r="L981" s="13"/>
    </row>
    <row r="982" spans="5:12" ht="15.75" customHeight="1" x14ac:dyDescent="0.2">
      <c r="E982" s="13"/>
      <c r="L982" s="13"/>
    </row>
    <row r="983" spans="5:12" ht="15.75" customHeight="1" x14ac:dyDescent="0.2">
      <c r="E983" s="13"/>
      <c r="L983" s="13"/>
    </row>
    <row r="984" spans="5:12" ht="15.75" customHeight="1" x14ac:dyDescent="0.2">
      <c r="E984" s="13"/>
      <c r="L984" s="13"/>
    </row>
    <row r="985" spans="5:12" ht="15.75" customHeight="1" x14ac:dyDescent="0.2">
      <c r="E985" s="13"/>
      <c r="L985" s="13"/>
    </row>
    <row r="986" spans="5:12" ht="15.75" customHeight="1" x14ac:dyDescent="0.2">
      <c r="E986" s="13"/>
      <c r="L986" s="13"/>
    </row>
    <row r="987" spans="5:12" ht="15.75" customHeight="1" x14ac:dyDescent="0.2">
      <c r="E987" s="13"/>
      <c r="L987" s="13"/>
    </row>
    <row r="988" spans="5:12" ht="15.75" customHeight="1" x14ac:dyDescent="0.2">
      <c r="E988" s="13"/>
      <c r="L988" s="13"/>
    </row>
    <row r="989" spans="5:12" ht="15.75" customHeight="1" x14ac:dyDescent="0.2">
      <c r="E989" s="13"/>
      <c r="L989" s="13"/>
    </row>
    <row r="990" spans="5:12" ht="15.75" customHeight="1" x14ac:dyDescent="0.2">
      <c r="E990" s="13"/>
      <c r="L990" s="13"/>
    </row>
    <row r="991" spans="5:12" ht="15.75" customHeight="1" x14ac:dyDescent="0.2">
      <c r="E991" s="13"/>
      <c r="L991" s="13"/>
    </row>
    <row r="992" spans="5:12" ht="15.75" customHeight="1" x14ac:dyDescent="0.2">
      <c r="E992" s="13"/>
      <c r="L992" s="13"/>
    </row>
    <row r="993" spans="5:12" ht="15.75" customHeight="1" x14ac:dyDescent="0.2">
      <c r="E993" s="13"/>
      <c r="L993" s="13"/>
    </row>
    <row r="994" spans="5:12" ht="15.75" customHeight="1" x14ac:dyDescent="0.2">
      <c r="E994" s="13"/>
      <c r="L994" s="13"/>
    </row>
    <row r="995" spans="5:12" ht="15.75" customHeight="1" x14ac:dyDescent="0.2">
      <c r="E995" s="13"/>
      <c r="L995" s="13"/>
    </row>
    <row r="996" spans="5:12" ht="15.75" customHeight="1" x14ac:dyDescent="0.2">
      <c r="E996" s="13"/>
      <c r="L996" s="13"/>
    </row>
    <row r="997" spans="5:12" ht="15.75" customHeight="1" x14ac:dyDescent="0.2">
      <c r="E997" s="13"/>
      <c r="L997" s="13"/>
    </row>
    <row r="998" spans="5:12" ht="15.75" customHeight="1" x14ac:dyDescent="0.2">
      <c r="E998" s="13"/>
      <c r="L998" s="13"/>
    </row>
    <row r="999" spans="5:12" ht="15.75" customHeight="1" x14ac:dyDescent="0.2">
      <c r="E999" s="13"/>
      <c r="L999" s="13"/>
    </row>
    <row r="1000" spans="5:12" ht="15.75" customHeight="1" x14ac:dyDescent="0.2">
      <c r="E1000" s="13"/>
      <c r="L1000" s="13"/>
    </row>
    <row r="1001" spans="5:12" ht="15.75" customHeight="1" x14ac:dyDescent="0.2">
      <c r="E1001" s="13"/>
      <c r="L1001" s="13"/>
    </row>
    <row r="1002" spans="5:12" ht="15.75" customHeight="1" x14ac:dyDescent="0.2">
      <c r="E1002" s="13"/>
      <c r="L1002" s="13"/>
    </row>
    <row r="1003" spans="5:12" ht="15.75" customHeight="1" x14ac:dyDescent="0.2">
      <c r="E1003" s="13"/>
      <c r="L1003" s="13"/>
    </row>
    <row r="1004" spans="5:12" ht="15.75" customHeight="1" x14ac:dyDescent="0.2">
      <c r="E1004" s="13"/>
      <c r="L1004" s="13"/>
    </row>
    <row r="1005" spans="5:12" ht="15.75" customHeight="1" x14ac:dyDescent="0.2">
      <c r="E1005" s="13"/>
      <c r="L1005" s="13"/>
    </row>
    <row r="1006" spans="5:12" ht="15.75" customHeight="1" x14ac:dyDescent="0.2">
      <c r="E1006" s="13"/>
      <c r="L1006" s="13"/>
    </row>
    <row r="1007" spans="5:12" ht="15.75" customHeight="1" x14ac:dyDescent="0.2">
      <c r="E1007" s="13"/>
      <c r="L1007" s="13"/>
    </row>
    <row r="1008" spans="5:12" ht="15.75" customHeight="1" x14ac:dyDescent="0.2">
      <c r="E1008" s="13"/>
      <c r="L1008" s="13"/>
    </row>
    <row r="1009" spans="5:12" ht="15.75" customHeight="1" x14ac:dyDescent="0.2">
      <c r="E1009" s="13"/>
      <c r="L1009" s="13"/>
    </row>
    <row r="1010" spans="5:12" ht="15.75" customHeight="1" x14ac:dyDescent="0.2">
      <c r="E1010" s="13"/>
      <c r="L1010" s="13"/>
    </row>
    <row r="1011" spans="5:12" ht="15.75" customHeight="1" x14ac:dyDescent="0.2">
      <c r="E1011" s="13"/>
      <c r="L1011" s="13"/>
    </row>
    <row r="1012" spans="5:12" ht="15.75" customHeight="1" x14ac:dyDescent="0.2">
      <c r="E1012" s="13"/>
      <c r="L1012" s="13"/>
    </row>
    <row r="1013" spans="5:12" ht="15.75" customHeight="1" x14ac:dyDescent="0.2">
      <c r="E1013" s="13"/>
      <c r="L1013" s="13"/>
    </row>
    <row r="1014" spans="5:12" ht="15.75" customHeight="1" x14ac:dyDescent="0.2">
      <c r="E1014" s="13"/>
      <c r="L1014" s="13"/>
    </row>
    <row r="1015" spans="5:12" ht="15.75" customHeight="1" x14ac:dyDescent="0.2">
      <c r="E1015" s="13"/>
      <c r="L1015" s="13"/>
    </row>
    <row r="1016" spans="5:12" ht="15.75" customHeight="1" x14ac:dyDescent="0.2">
      <c r="E1016" s="13"/>
      <c r="L1016" s="13"/>
    </row>
    <row r="1017" spans="5:12" ht="15.75" customHeight="1" x14ac:dyDescent="0.2">
      <c r="E1017" s="13"/>
      <c r="L1017" s="13"/>
    </row>
    <row r="1018" spans="5:12" ht="15.75" customHeight="1" x14ac:dyDescent="0.2">
      <c r="E1018" s="13"/>
      <c r="L1018" s="13"/>
    </row>
    <row r="1019" spans="5:12" ht="15.75" customHeight="1" x14ac:dyDescent="0.2">
      <c r="E1019" s="13"/>
      <c r="L1019" s="13"/>
    </row>
  </sheetData>
  <mergeCells count="447">
    <mergeCell ref="B27:C27"/>
    <mergeCell ref="D27:F27"/>
    <mergeCell ref="G27:H27"/>
    <mergeCell ref="I27:J27"/>
    <mergeCell ref="B28:C28"/>
    <mergeCell ref="D28:F28"/>
    <mergeCell ref="G28:H28"/>
    <mergeCell ref="I28:J28"/>
    <mergeCell ref="I25:J25"/>
    <mergeCell ref="O25:O27"/>
    <mergeCell ref="P25:P29"/>
    <mergeCell ref="B26:C26"/>
    <mergeCell ref="D26:F26"/>
    <mergeCell ref="G26:H26"/>
    <mergeCell ref="I26:J26"/>
    <mergeCell ref="G32:H32"/>
    <mergeCell ref="I32:J32"/>
    <mergeCell ref="G38:H38"/>
    <mergeCell ref="I38:J38"/>
    <mergeCell ref="B35:C35"/>
    <mergeCell ref="D35:F35"/>
    <mergeCell ref="G35:H35"/>
    <mergeCell ref="I35:J35"/>
    <mergeCell ref="D36:F36"/>
    <mergeCell ref="G36:H36"/>
    <mergeCell ref="I36:J36"/>
    <mergeCell ref="B36:C36"/>
    <mergeCell ref="B37:C37"/>
    <mergeCell ref="D37:F37"/>
    <mergeCell ref="G37:H37"/>
    <mergeCell ref="I37:J37"/>
    <mergeCell ref="D38:F38"/>
    <mergeCell ref="B25:C25"/>
    <mergeCell ref="A41:M41"/>
    <mergeCell ref="I44:J48"/>
    <mergeCell ref="K44:L47"/>
    <mergeCell ref="M44:M47"/>
    <mergeCell ref="O44:O47"/>
    <mergeCell ref="P44:P48"/>
    <mergeCell ref="O49:O52"/>
    <mergeCell ref="K50:L53"/>
    <mergeCell ref="B38:C38"/>
    <mergeCell ref="B43:C43"/>
    <mergeCell ref="D43:F43"/>
    <mergeCell ref="G43:H43"/>
    <mergeCell ref="I43:J43"/>
    <mergeCell ref="D44:F47"/>
    <mergeCell ref="G44:H48"/>
    <mergeCell ref="I49:J49"/>
    <mergeCell ref="I50:J54"/>
    <mergeCell ref="D54:F54"/>
    <mergeCell ref="G54:H54"/>
    <mergeCell ref="D48:F48"/>
    <mergeCell ref="B49:C49"/>
    <mergeCell ref="D49:F49"/>
    <mergeCell ref="G49:H49"/>
    <mergeCell ref="B50:C54"/>
    <mergeCell ref="D50:F53"/>
    <mergeCell ref="G50:H53"/>
    <mergeCell ref="G7:H7"/>
    <mergeCell ref="G11:H11"/>
    <mergeCell ref="I12:J12"/>
    <mergeCell ref="G13:H13"/>
    <mergeCell ref="I13:J13"/>
    <mergeCell ref="G6:H6"/>
    <mergeCell ref="I6:J6"/>
    <mergeCell ref="D25:F25"/>
    <mergeCell ref="D16:F16"/>
    <mergeCell ref="D17:F17"/>
    <mergeCell ref="G10:H10"/>
    <mergeCell ref="I10:J10"/>
    <mergeCell ref="D10:F10"/>
    <mergeCell ref="I17:J17"/>
    <mergeCell ref="I18:J18"/>
    <mergeCell ref="I19:J19"/>
    <mergeCell ref="A22:M22"/>
    <mergeCell ref="I11:J11"/>
    <mergeCell ref="G12:H12"/>
    <mergeCell ref="G14:H14"/>
    <mergeCell ref="I14:J14"/>
    <mergeCell ref="G15:H15"/>
    <mergeCell ref="O6:O8"/>
    <mergeCell ref="P6:P10"/>
    <mergeCell ref="I7:J7"/>
    <mergeCell ref="I8:J8"/>
    <mergeCell ref="O10:O13"/>
    <mergeCell ref="B17:C17"/>
    <mergeCell ref="B18:C18"/>
    <mergeCell ref="B19:C19"/>
    <mergeCell ref="B24:C24"/>
    <mergeCell ref="B10:C10"/>
    <mergeCell ref="B11:C11"/>
    <mergeCell ref="B12:C12"/>
    <mergeCell ref="B13:C13"/>
    <mergeCell ref="B14:C14"/>
    <mergeCell ref="B15:C15"/>
    <mergeCell ref="B16:C16"/>
    <mergeCell ref="D18:F18"/>
    <mergeCell ref="D19:F19"/>
    <mergeCell ref="D24:F24"/>
    <mergeCell ref="D11:F11"/>
    <mergeCell ref="D12:F12"/>
    <mergeCell ref="D13:F13"/>
    <mergeCell ref="D14:F14"/>
    <mergeCell ref="D15:F15"/>
    <mergeCell ref="A3:M3"/>
    <mergeCell ref="B5:C5"/>
    <mergeCell ref="D5:F5"/>
    <mergeCell ref="G5:H5"/>
    <mergeCell ref="I5:J5"/>
    <mergeCell ref="B6:C6"/>
    <mergeCell ref="D6:F6"/>
    <mergeCell ref="G8:H8"/>
    <mergeCell ref="G9:H9"/>
    <mergeCell ref="I9:J9"/>
    <mergeCell ref="B7:C7"/>
    <mergeCell ref="D7:F7"/>
    <mergeCell ref="B8:C8"/>
    <mergeCell ref="D8:F8"/>
    <mergeCell ref="B9:C9"/>
    <mergeCell ref="D9:F9"/>
    <mergeCell ref="I15:J15"/>
    <mergeCell ref="I16:J16"/>
    <mergeCell ref="G16:H16"/>
    <mergeCell ref="G17:H17"/>
    <mergeCell ref="G18:H18"/>
    <mergeCell ref="G19:H19"/>
    <mergeCell ref="G24:H24"/>
    <mergeCell ref="I24:J24"/>
    <mergeCell ref="G25:H25"/>
    <mergeCell ref="G29:H29"/>
    <mergeCell ref="I29:J29"/>
    <mergeCell ref="O29:O32"/>
    <mergeCell ref="G30:H30"/>
    <mergeCell ref="I30:J30"/>
    <mergeCell ref="G31:H31"/>
    <mergeCell ref="I31:J31"/>
    <mergeCell ref="B29:C29"/>
    <mergeCell ref="D29:F29"/>
    <mergeCell ref="B30:C30"/>
    <mergeCell ref="D30:F30"/>
    <mergeCell ref="B31:C31"/>
    <mergeCell ref="D31:F31"/>
    <mergeCell ref="D32:F32"/>
    <mergeCell ref="G34:H34"/>
    <mergeCell ref="I34:J34"/>
    <mergeCell ref="B32:C32"/>
    <mergeCell ref="B33:C33"/>
    <mergeCell ref="D33:F33"/>
    <mergeCell ref="G33:H33"/>
    <mergeCell ref="I33:J33"/>
    <mergeCell ref="B34:C34"/>
    <mergeCell ref="D34:F34"/>
    <mergeCell ref="D57:F57"/>
    <mergeCell ref="G57:H57"/>
    <mergeCell ref="A59:M59"/>
    <mergeCell ref="B61:C61"/>
    <mergeCell ref="D61:F61"/>
    <mergeCell ref="G61:H61"/>
    <mergeCell ref="I61:J61"/>
    <mergeCell ref="B55:C55"/>
    <mergeCell ref="D55:F55"/>
    <mergeCell ref="G55:H55"/>
    <mergeCell ref="B56:C56"/>
    <mergeCell ref="D56:F56"/>
    <mergeCell ref="G56:H56"/>
    <mergeCell ref="B57:C57"/>
    <mergeCell ref="B62:C66"/>
    <mergeCell ref="D62:F66"/>
    <mergeCell ref="G62:H65"/>
    <mergeCell ref="I62:J66"/>
    <mergeCell ref="K62:L65"/>
    <mergeCell ref="M62:M66"/>
    <mergeCell ref="B67:C67"/>
    <mergeCell ref="I67:J67"/>
    <mergeCell ref="G68:H71"/>
    <mergeCell ref="G72:H72"/>
    <mergeCell ref="D67:F67"/>
    <mergeCell ref="G67:H67"/>
    <mergeCell ref="D68:F71"/>
    <mergeCell ref="I68:J68"/>
    <mergeCell ref="I69:J69"/>
    <mergeCell ref="I70:J70"/>
    <mergeCell ref="I71:J71"/>
    <mergeCell ref="G74:H74"/>
    <mergeCell ref="D180:F180"/>
    <mergeCell ref="G180:H180"/>
    <mergeCell ref="I180:J180"/>
    <mergeCell ref="K180:L180"/>
    <mergeCell ref="G75:H75"/>
    <mergeCell ref="I72:J72"/>
    <mergeCell ref="B73:C73"/>
    <mergeCell ref="G73:H73"/>
    <mergeCell ref="I73:J73"/>
    <mergeCell ref="B74:C74"/>
    <mergeCell ref="I74:J74"/>
    <mergeCell ref="B75:C75"/>
    <mergeCell ref="I178:J178"/>
    <mergeCell ref="B178:C178"/>
    <mergeCell ref="B158:C158"/>
    <mergeCell ref="D158:F158"/>
    <mergeCell ref="G158:H158"/>
    <mergeCell ref="I158:J158"/>
    <mergeCell ref="I81:J84"/>
    <mergeCell ref="I94:J94"/>
    <mergeCell ref="A97:M97"/>
    <mergeCell ref="G91:H91"/>
    <mergeCell ref="I91:J91"/>
    <mergeCell ref="G92:H92"/>
    <mergeCell ref="G163:H163"/>
    <mergeCell ref="B179:C179"/>
    <mergeCell ref="B180:C180"/>
    <mergeCell ref="B181:C181"/>
    <mergeCell ref="B182:C182"/>
    <mergeCell ref="I182:J182"/>
    <mergeCell ref="K182:L182"/>
    <mergeCell ref="B160:C160"/>
    <mergeCell ref="D160:F160"/>
    <mergeCell ref="G160:H160"/>
    <mergeCell ref="I160:J160"/>
    <mergeCell ref="D161:F161"/>
    <mergeCell ref="G161:H161"/>
    <mergeCell ref="I161:J161"/>
    <mergeCell ref="K161:L161"/>
    <mergeCell ref="B168:C171"/>
    <mergeCell ref="B176:C176"/>
    <mergeCell ref="B177:C177"/>
    <mergeCell ref="K163:L163"/>
    <mergeCell ref="K164:L164"/>
    <mergeCell ref="D181:F181"/>
    <mergeCell ref="G181:H181"/>
    <mergeCell ref="I181:J181"/>
    <mergeCell ref="K181:L181"/>
    <mergeCell ref="B162:C162"/>
    <mergeCell ref="D162:F162"/>
    <mergeCell ref="D163:F163"/>
    <mergeCell ref="D164:E167"/>
    <mergeCell ref="B165:C165"/>
    <mergeCell ref="B166:C166"/>
    <mergeCell ref="B167:C167"/>
    <mergeCell ref="B159:C159"/>
    <mergeCell ref="B161:C161"/>
    <mergeCell ref="B163:C163"/>
    <mergeCell ref="B164:C164"/>
    <mergeCell ref="D159:F159"/>
    <mergeCell ref="K158:L158"/>
    <mergeCell ref="M158:M162"/>
    <mergeCell ref="K160:L160"/>
    <mergeCell ref="K162:L162"/>
    <mergeCell ref="G159:H159"/>
    <mergeCell ref="I159:J159"/>
    <mergeCell ref="K159:L159"/>
    <mergeCell ref="G162:H162"/>
    <mergeCell ref="I162:J162"/>
    <mergeCell ref="I75:J75"/>
    <mergeCell ref="A78:M78"/>
    <mergeCell ref="B80:C80"/>
    <mergeCell ref="D80:F80"/>
    <mergeCell ref="I80:J80"/>
    <mergeCell ref="B81:B85"/>
    <mergeCell ref="D81:F85"/>
    <mergeCell ref="G80:H80"/>
    <mergeCell ref="G81:H84"/>
    <mergeCell ref="K81:L84"/>
    <mergeCell ref="P81:P85"/>
    <mergeCell ref="I85:J85"/>
    <mergeCell ref="O86:O89"/>
    <mergeCell ref="L105:L109"/>
    <mergeCell ref="M105:M108"/>
    <mergeCell ref="E86:E90"/>
    <mergeCell ref="B90:C90"/>
    <mergeCell ref="B91:C94"/>
    <mergeCell ref="B99:C99"/>
    <mergeCell ref="D99:F99"/>
    <mergeCell ref="B100:B104"/>
    <mergeCell ref="B105:B109"/>
    <mergeCell ref="G105:H108"/>
    <mergeCell ref="H109:H112"/>
    <mergeCell ref="I109:J112"/>
    <mergeCell ref="K109:K112"/>
    <mergeCell ref="F100:F103"/>
    <mergeCell ref="E105:F109"/>
    <mergeCell ref="I105:I108"/>
    <mergeCell ref="J105:J108"/>
    <mergeCell ref="K105:K108"/>
    <mergeCell ref="G102:H102"/>
    <mergeCell ref="I102:J102"/>
    <mergeCell ref="F86:F90"/>
    <mergeCell ref="O81:O84"/>
    <mergeCell ref="G86:H86"/>
    <mergeCell ref="I86:J90"/>
    <mergeCell ref="K86:L90"/>
    <mergeCell ref="G87:H90"/>
    <mergeCell ref="I92:J92"/>
    <mergeCell ref="G93:H93"/>
    <mergeCell ref="I93:J93"/>
    <mergeCell ref="G94:H94"/>
    <mergeCell ref="I119:J119"/>
    <mergeCell ref="M119:M122"/>
    <mergeCell ref="I120:J120"/>
    <mergeCell ref="G103:H103"/>
    <mergeCell ref="I103:J103"/>
    <mergeCell ref="G104:H104"/>
    <mergeCell ref="K125:K128"/>
    <mergeCell ref="G99:H99"/>
    <mergeCell ref="B110:C113"/>
    <mergeCell ref="F110:F113"/>
    <mergeCell ref="G110:G113"/>
    <mergeCell ref="A116:M116"/>
    <mergeCell ref="D118:F118"/>
    <mergeCell ref="G118:H118"/>
    <mergeCell ref="I118:J118"/>
    <mergeCell ref="I99:J99"/>
    <mergeCell ref="L99:M99"/>
    <mergeCell ref="G100:H100"/>
    <mergeCell ref="I100:J100"/>
    <mergeCell ref="G101:H101"/>
    <mergeCell ref="I101:J101"/>
    <mergeCell ref="B118:C118"/>
    <mergeCell ref="O128:O132"/>
    <mergeCell ref="B119:C119"/>
    <mergeCell ref="B122:C122"/>
    <mergeCell ref="B123:C123"/>
    <mergeCell ref="B124:C128"/>
    <mergeCell ref="D124:F128"/>
    <mergeCell ref="G125:H128"/>
    <mergeCell ref="I125:J128"/>
    <mergeCell ref="B121:C121"/>
    <mergeCell ref="D121:F121"/>
    <mergeCell ref="G121:H121"/>
    <mergeCell ref="D122:F122"/>
    <mergeCell ref="G122:H122"/>
    <mergeCell ref="D123:F123"/>
    <mergeCell ref="G123:H123"/>
    <mergeCell ref="I123:J123"/>
    <mergeCell ref="I124:J124"/>
    <mergeCell ref="I121:J121"/>
    <mergeCell ref="I122:J122"/>
    <mergeCell ref="D120:F120"/>
    <mergeCell ref="G120:H120"/>
    <mergeCell ref="B120:C120"/>
    <mergeCell ref="D119:F119"/>
    <mergeCell ref="G119:H119"/>
    <mergeCell ref="I137:J137"/>
    <mergeCell ref="K137:L137"/>
    <mergeCell ref="M138:N141"/>
    <mergeCell ref="I139:J139"/>
    <mergeCell ref="I140:J140"/>
    <mergeCell ref="I141:J141"/>
    <mergeCell ref="B129:C132"/>
    <mergeCell ref="D129:E132"/>
    <mergeCell ref="A134:M134"/>
    <mergeCell ref="A135:M135"/>
    <mergeCell ref="B137:C137"/>
    <mergeCell ref="D137:F137"/>
    <mergeCell ref="G137:H137"/>
    <mergeCell ref="B138:C138"/>
    <mergeCell ref="D138:F138"/>
    <mergeCell ref="G138:H138"/>
    <mergeCell ref="I138:J138"/>
    <mergeCell ref="B139:C139"/>
    <mergeCell ref="D139:F139"/>
    <mergeCell ref="G139:H139"/>
    <mergeCell ref="D142:F142"/>
    <mergeCell ref="G142:H142"/>
    <mergeCell ref="I142:J142"/>
    <mergeCell ref="B140:C140"/>
    <mergeCell ref="D140:F140"/>
    <mergeCell ref="G140:H140"/>
    <mergeCell ref="B141:C141"/>
    <mergeCell ref="D141:F141"/>
    <mergeCell ref="G141:H141"/>
    <mergeCell ref="B142:C142"/>
    <mergeCell ref="B143:C143"/>
    <mergeCell ref="D143:F143"/>
    <mergeCell ref="G143:H143"/>
    <mergeCell ref="I143:J143"/>
    <mergeCell ref="D144:F144"/>
    <mergeCell ref="M144:N147"/>
    <mergeCell ref="G145:H147"/>
    <mergeCell ref="D147:F147"/>
    <mergeCell ref="D145:F145"/>
    <mergeCell ref="D146:F146"/>
    <mergeCell ref="B148:C151"/>
    <mergeCell ref="G148:H151"/>
    <mergeCell ref="I148:J151"/>
    <mergeCell ref="K148:L151"/>
    <mergeCell ref="M148:N150"/>
    <mergeCell ref="D148:F151"/>
    <mergeCell ref="A155:M155"/>
    <mergeCell ref="B157:C157"/>
    <mergeCell ref="D157:F157"/>
    <mergeCell ref="G157:H157"/>
    <mergeCell ref="I157:J157"/>
    <mergeCell ref="K157:L157"/>
    <mergeCell ref="M164:M167"/>
    <mergeCell ref="K165:L165"/>
    <mergeCell ref="I176:J176"/>
    <mergeCell ref="K176:L176"/>
    <mergeCell ref="D168:F171"/>
    <mergeCell ref="G168:H170"/>
    <mergeCell ref="I168:J171"/>
    <mergeCell ref="K168:L171"/>
    <mergeCell ref="A174:M174"/>
    <mergeCell ref="D176:F176"/>
    <mergeCell ref="G176:H176"/>
    <mergeCell ref="K166:L166"/>
    <mergeCell ref="K167:L167"/>
    <mergeCell ref="M183:N185"/>
    <mergeCell ref="I184:J184"/>
    <mergeCell ref="K184:L184"/>
    <mergeCell ref="I185:J185"/>
    <mergeCell ref="K185:L185"/>
    <mergeCell ref="I186:J190"/>
    <mergeCell ref="K186:L186"/>
    <mergeCell ref="K187:L190"/>
    <mergeCell ref="D177:F177"/>
    <mergeCell ref="G177:H177"/>
    <mergeCell ref="I177:J177"/>
    <mergeCell ref="K177:L177"/>
    <mergeCell ref="M177:M182"/>
    <mergeCell ref="D178:F178"/>
    <mergeCell ref="G178:H178"/>
    <mergeCell ref="D183:F183"/>
    <mergeCell ref="G183:H183"/>
    <mergeCell ref="I183:J183"/>
    <mergeCell ref="K183:L183"/>
    <mergeCell ref="K178:L178"/>
    <mergeCell ref="D179:F179"/>
    <mergeCell ref="G179:H179"/>
    <mergeCell ref="I179:J179"/>
    <mergeCell ref="K179:L179"/>
    <mergeCell ref="B185:C185"/>
    <mergeCell ref="B186:C186"/>
    <mergeCell ref="D186:F186"/>
    <mergeCell ref="G186:H186"/>
    <mergeCell ref="B187:C190"/>
    <mergeCell ref="D187:F190"/>
    <mergeCell ref="G187:H189"/>
    <mergeCell ref="D182:F182"/>
    <mergeCell ref="G182:H182"/>
    <mergeCell ref="B184:C184"/>
    <mergeCell ref="D184:F184"/>
    <mergeCell ref="G184:H184"/>
    <mergeCell ref="D185:F185"/>
    <mergeCell ref="G185:H185"/>
    <mergeCell ref="B183:C183"/>
  </mergeCells>
  <printOptions horizontalCentered="1" gridLines="1"/>
  <pageMargins left="0.7" right="0.7" top="0.75" bottom="0.75" header="0" footer="0"/>
  <pageSetup paperSize="9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Profesores</vt:lpstr>
      <vt:lpstr>Por Semana OK</vt:lpstr>
      <vt:lpstr>Profesores!Área_de_impresión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AULA F.DE ING.DE SISTEMAS E INF</dc:creator>
  <cp:lastModifiedBy>User</cp:lastModifiedBy>
  <cp:lastPrinted>2026-02-17T15:22:17Z</cp:lastPrinted>
  <dcterms:created xsi:type="dcterms:W3CDTF">2024-10-31T21:54:08Z</dcterms:created>
  <dcterms:modified xsi:type="dcterms:W3CDTF">2026-03-17T22:02:34Z</dcterms:modified>
</cp:coreProperties>
</file>